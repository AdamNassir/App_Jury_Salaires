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 Freelance 2026" sheetId="1" r:id="rId5"/>
    <sheet state="visible" name="Prime Freelance T1 2026" sheetId="2" r:id="rId6"/>
    <sheet state="visible" name="Prime Freelance T2 2026" sheetId="3" r:id="rId7"/>
    <sheet state="visible" name="Prime Freelance T3 2026" sheetId="4" r:id="rId8"/>
    <sheet state="visible" name="Prime Freelance T4 2026" sheetId="5" r:id="rId9"/>
    <sheet state="hidden" name="Prime &quot;Qualité de la prestation" sheetId="6" r:id="rId10"/>
    <sheet state="visible" name="Recap Salariés 2026" sheetId="7" r:id="rId11"/>
    <sheet state="visible" name="Prime Salariés T1 2026" sheetId="8" r:id="rId12"/>
    <sheet state="visible" name="Prime Salariés T2 2026" sheetId="9" r:id="rId13"/>
    <sheet state="visible" name="Prime Salariés T3 2026" sheetId="10" r:id="rId14"/>
    <sheet state="visible" name="Prime Salariés T4 2026" sheetId="11" r:id="rId15"/>
    <sheet state="hidden" name="Récap pour Cristina" sheetId="12" r:id="rId16"/>
  </sheets>
  <definedNames>
    <definedName hidden="1" localSheetId="1" name="_xlnm._FilterDatabase">'Prime Freelance T1 2026'!$B$41:$I$556</definedName>
    <definedName hidden="1" localSheetId="2" name="_xlnm._FilterDatabase">'Prime Freelance T2 2026'!$A$38:$AA$589</definedName>
    <definedName hidden="1" localSheetId="3" name="_xlnm._FilterDatabase">'Prime Freelance T3 2026'!$A$36:$I$473</definedName>
    <definedName hidden="1" localSheetId="4" name="_xlnm._FilterDatabase">'Prime Freelance T4 2026'!$A$34:$I$537</definedName>
    <definedName hidden="1" localSheetId="6" name="_xlnm._FilterDatabase">'Recap Salariés 2026'!$A$5:$AC$30</definedName>
    <definedName hidden="1" localSheetId="7" name="_xlnm._FilterDatabase">'Prime Salariés T1 2026'!$A$32:$Y$234</definedName>
    <definedName hidden="1" localSheetId="8" name="_xlnm._FilterDatabase">'Prime Salariés T2 2026'!$A$29:$Y$220</definedName>
    <definedName hidden="1" localSheetId="9" name="_xlnm._FilterDatabase">'Prime Salariés T3 2026'!$A$29:$Z$156</definedName>
    <definedName hidden="1" localSheetId="2" name="Z_8D341382_F33A_42BE_92B5_CA8C873B6B9A_.wvu.FilterData">'Prime Freelance T2 2026'!$A$38:$J$589</definedName>
    <definedName hidden="1" localSheetId="4" name="Z_8D341382_F33A_42BE_92B5_CA8C873B6B9A_.wvu.FilterData">'Prime Freelance T4 2026'!$A$34:$I$537</definedName>
    <definedName hidden="1" localSheetId="9" name="Z_D61DFE75_686C_40C9_B863_8FEFD1C8199A_.wvu.FilterData">'Prime Salariés T3 2026'!$A$29:$Z$192</definedName>
    <definedName hidden="1" localSheetId="1" name="Z_337816CC_850F_4D8A_9A21_5D6FA7C66D79_.wvu.FilterData">'Prime Freelance T1 2026'!$A$42:$I$548</definedName>
    <definedName hidden="1" localSheetId="7" name="Z_337816CC_850F_4D8A_9A21_5D6FA7C66D79_.wvu.FilterData">'Prime Salariés T1 2026'!$A$32:$Y$150</definedName>
    <definedName hidden="1" localSheetId="8" name="Z_337816CC_850F_4D8A_9A21_5D6FA7C66D79_.wvu.FilterData">'Prime Salariés T2 2026'!$A$29:$J$220</definedName>
    <definedName hidden="1" localSheetId="10" name="Z_337816CC_850F_4D8A_9A21_5D6FA7C66D79_.wvu.FilterData">'Prime Salariés T4 2026'!$A$32:$I$208</definedName>
    <definedName hidden="1" localSheetId="3" name="Z_337816CC_850F_4D8A_9A21_5D6FA7C66D79_.wvu.FilterData">'Prime Freelance T3 2026'!$A$1:$F$33</definedName>
    <definedName hidden="1" localSheetId="4" name="Z_337816CC_850F_4D8A_9A21_5D6FA7C66D79_.wvu.FilterData">'Prime Freelance T4 2026'!$A$3:$D$31</definedName>
    <definedName hidden="1" localSheetId="3" name="Z_72256F01_0C86_4CAF_AE7B_213A8F18EC2B_.wvu.FilterData">'Prime Freelance T3 2026'!$A$36:$I$513</definedName>
    <definedName hidden="1" localSheetId="1" name="Z_7E2DC08E_42AC_43D8_8C70_258D8904AA44_.wvu.FilterData">'Prime Freelance T1 2026'!$A$42:$I$548</definedName>
    <definedName hidden="1" localSheetId="2" name="Z_7E2DC08E_42AC_43D8_8C70_258D8904AA44_.wvu.FilterData">'Prime Freelance T2 2026'!$A$38:$J$589</definedName>
    <definedName hidden="1" localSheetId="7" name="Z_7E2DC08E_42AC_43D8_8C70_258D8904AA44_.wvu.FilterData">'Prime Salariés T1 2026'!$A$3:$H$26</definedName>
    <definedName hidden="1" localSheetId="8" name="Z_7E2DC08E_42AC_43D8_8C70_258D8904AA44_.wvu.FilterData">'Prime Salariés T2 2026'!$A$29:$J$220</definedName>
    <definedName hidden="1" localSheetId="10" name="Z_7E2DC08E_42AC_43D8_8C70_258D8904AA44_.wvu.FilterData">'Prime Salariés T4 2026'!$A$32:$I$208</definedName>
    <definedName hidden="1" localSheetId="4" name="Z_7E2DC08E_42AC_43D8_8C70_258D8904AA44_.wvu.FilterData">'Prime Freelance T4 2026'!$A$34:$I$537</definedName>
  </definedNames>
  <calcPr/>
  <customWorkbookViews>
    <customWorkbookView activeSheetId="0" maximized="1" windowHeight="0" windowWidth="0" guid="{8D341382-F33A-42BE-92B5-CA8C873B6B9A}" name="Amaury"/>
    <customWorkbookView activeSheetId="0" maximized="1" windowHeight="0" windowWidth="0" guid="{D61DFE75-686C-40C9-B863-8FEFD1C8199A}" name="Arthur VARY"/>
    <customWorkbookView activeSheetId="0" maximized="1" windowHeight="0" windowWidth="0" guid="{337816CC-850F-4D8A-9A21-5D6FA7C66D79}" name="Filtre 2"/>
    <customWorkbookView activeSheetId="0" maximized="1" windowHeight="0" windowWidth="0" guid="{72256F01-0C86-4CAF-AE7B-213A8F18EC2B}" name="AMO"/>
    <customWorkbookView activeSheetId="0" maximized="1" windowHeight="0" windowWidth="0" guid="{7E2DC08E-42AC-43D8-8C70-258D8904AA44}" name="Filtre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tc={60a21c8b-f6f3-4bb7-9041-a4a9c608d0cd}</author>
  </authors>
  <commentList>
    <comment authorId="0" xr:uid="{60a21c8b-f6f3-4bb7-9041-a4a9c608d0cd}" ref="D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Hello @muriel.guiochet@logiclever.com je propose une correction de la formule
il faut modifier la colonnne a récupérer de 5 en 6 comme sur ma cellule ;)
bonne journée
Attribué à muriel.guiochet@logiclever.com
Reply:
	damn ! je corrige de suite, merci beaucoup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tc={106c607d-48da-4019-9449-598a14b74f7f}</author>
  </authors>
  <commentList>
    <comment authorId="0" xr:uid="{106c607d-48da-4019-9449-598a14b74f7f}" ref="H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@muriel.guiochet@logiclever.com 
juste pour evoir en tete qu'on a pas appliqué de RFA sur Laure en 2024 et 2025. 
Cette prime est calculé sur une RFA. 
Régul dès maintenant ?
Attribué à muriel.guiochet@logiclever.com
Reply:
	Hello, nouveau contrat avec le client car passage a temps partiel, je pense qu'on ne pourra pas échapper à la RFA cette année :-(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tc={999db0ea-21d1-490f-8af5-8db9f655a3e0}</author>
  </authors>
  <commentList>
    <comment authorId="0" xr:uid="{999db0ea-21d1-490f-8af5-8db9f655a3e0}" ref="E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Bonjour Sanaa, ce montant est du à une correction de la prime sur Kawthar sur le S1 (soustraction de la RFA). Désolée !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tc={744d9f07-757a-4f97-9a61-f912629a4f0a}</author>
  </authors>
  <commentList>
    <comment authorId="0" xr:uid="{744d9f07-757a-4f97-9a61-f912629a4f0a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@alexandre.doz@logiclever.com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- [brut salarié] * 1,45 --&gt; Donne  [cout LL]
- LL devra payer 20% sur la valeur de LL dans 1 an, avec LL qui prend 30%, le cout pour LL sera de (1+(1,3*0,2))= 1,26
--&gt; Si je réinjecte ce montant de 1,26 alors on a [Brut salarié]*1,45/1,26 = 1,15* [Brut Salarié]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tc={14634796-a805-4324-a92d-68255671260f}</author>
    <author>tc={1f26e720-d6af-49cd-82d9-3e3ed2f26016}</author>
    <author>tc={32583193-644e-45a4-ac1f-e00db6812786}</author>
    <author>tc={4cf7a37a-e2a7-41ab-bb79-f12ccf8a7044}</author>
    <author>tc={97e8720c-9fd6-4ed8-90a3-32021f8e3330}</author>
    <author>tc={b4a4894b-400f-436b-8af1-14388ffe2d22}</author>
    <author>tc={f4cbc161-4e49-4775-8519-490feea8e5ed}</author>
  </authors>
  <commentList>
    <comment authorId="0" xr:uid="{14634796-a805-4324-a92d-68255671260f}" ref="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@mostafa.mahfouz@logiclever.com Merci d'indiquer dès aujourd'hui si tu souhaites la prime en AGA ou en salaire.
Attribué à mostafa.mahfouz@logiclever.com
</t>
      </text>
    </comment>
    <comment authorId="1" xr:uid="{1f26e720-d6af-49cd-82d9-3e3ed2f26016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Bonjour Gabriel, ce montant à été corrigé suite à la soustraction de la RFA sur le S1. Désolée !
</t>
      </text>
    </comment>
    <comment authorId="2" xr:uid="{32583193-644e-45a4-ac1f-e00db6812786}" ref="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@laure.buononato@logiclever.com Merci d'indiquer dès aujourd'hui si tu souhaites la prime en AGA ou en salaire.
Attribué à laure.buononato@logiclever.com
</t>
      </text>
    </comment>
    <comment authorId="3" xr:uid="{4cf7a37a-e2a7-41ab-bb79-f12ccf8a7044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@arthur.vary@logiclever.com Merci d'indiquer dès aujourd'hui si tu souhaites la prime en AGA ou en salaire.
Attribué à arthur.vary@logiclever.com
</t>
      </text>
    </comment>
    <comment authorId="4" xr:uid="{97e8720c-9fd6-4ed8-90a3-32021f8e3330}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@virgile.grammont@logiclever.com Merci d'indiquer dès aujourd'hui si tu souhaites la prime en AGA ou en salaire.
Attribué à virgile.grammont@logiclever.com
</t>
      </text>
    </comment>
    <comment authorId="5" xr:uid="{b4a4894b-400f-436b-8af1-14388ffe2d22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@alice.nowicki@logiclever.com Merci d'indiquer dès aujourd'hui si tu souhaites la prime en AGA ou en salaire.
Attribué à alice.nowicki@logiclever.com
Reply:
	Done
</t>
      </text>
    </comment>
    <comment authorId="6" xr:uid="{f4cbc161-4e49-4775-8519-490feea8e5ed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@jonathan.fernandes@logiclever.com Merci d'indiquer dès aujourd'hui si tu souhaites la prime en AGA ou en salaire.
Attribué à jonathan.fernandes@logiclever.com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tc={03eaa043-06e7-41dd-9f14-5db452141d7b}</author>
    <author>tc={1fb08004-5dcb-452a-9097-f58e19b069bb}</author>
    <author>tc={3509ee7e-621d-4b1e-a672-279409bacdec}</author>
    <author>tc={3d0961f6-4649-4baf-a8c9-7205f13fdf77}</author>
    <author>tc={6e8e946e-aaf6-4e6e-be0e-12b90bc215c4}</author>
    <author>tc={c6001c38-34af-4b21-af82-36b3d218a81b}</author>
    <author>tc={d15d2785-bfec-4ec6-95fd-a9677cc4b202}</author>
    <author>tc={d8fcc585-15d7-480d-a20b-ac7f9e2bc5f5}</author>
    <author>tc={e04977eb-dd12-4780-94db-8efccacde6ae}</author>
  </authors>
  <commentList>
    <comment authorId="0" xr:uid="{03eaa043-06e7-41dd-9f14-5db452141d7b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Bonjour @chloe.menigoz@logiclever.com , n'oublie pas d'indiquer ce que tu veux faire de ta prime stp
Attribué à chloe.menigoz@logiclever.com
</t>
      </text>
    </comment>
    <comment authorId="1" xr:uid="{1fb08004-5dcb-452a-9097-f58e19b069bb}" ref="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Bonjour @melina.tomassi@logiclever.com , n'oublie pas d'indiquer ce que tu veux faire de ta prime stp
Attribué à melina.tomassi@logiclever.com
Reply:
	Marqué comme terminé
</t>
      </text>
    </comment>
    <comment authorId="2" xr:uid="{3509ee7e-621d-4b1e-a672-279409bacdec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Bonjour @naim.ouaraz@logiclever.com , n'oublie pas d'indiquer ce que tu veux faire de ta prime stp
Attribué à naim.ouaraz@logiclever.com
</t>
      </text>
    </comment>
    <comment authorId="3" xr:uid="{3d0961f6-4649-4baf-a8c9-7205f13fdf77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Bonjour Gabriel, ce montant à été corrigé suite à la soustraction de la RFA sur le S1. Désolée !
</t>
      </text>
    </comment>
    <comment authorId="4" xr:uid="{6e8e946e-aaf6-4e6e-be0e-12b90bc215c4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Bonjour @kamelia.sakete@logiclever.com , n'oublie pas d'indiquer ce que tu veux faire de ta prime stp. Tu peux m'appeler si tu as des questions
Attribué à kamelia.sakete@logiclever.com
</t>
      </text>
    </comment>
    <comment authorId="5" xr:uid="{c6001c38-34af-4b21-af82-36b3d218a81b}" ref="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Bonjour @umair.mumtaz@logiclever.com n'oublie pas d'indiquer ce que tu veux faire de ta prime stp
Attribué à umair.mumtaz@logiclever.com
</t>
      </text>
    </comment>
    <comment authorId="6" xr:uid="{d15d2785-bfec-4ec6-95fd-a9677cc4b202}" ref="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Bonjour @virgile.grammont@logiclever.com , n'oublie pas d'indiquer ce que tu veux faire de ta prime stp
Attribué à virgile.grammont@logiclever.com
</t>
      </text>
    </comment>
    <comment authorId="7" xr:uid="{d8fcc585-15d7-480d-a20b-ac7f9e2bc5f5}" ref="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Bonjour @jonathan.fernandes@logiclever.com , n'oublie pas d'indiquer ce que tu veux faire de ta prime stp
Attribué à jonathan.fernandes@logiclever.com
</t>
      </text>
    </comment>
    <comment authorId="8" xr:uid="{e04977eb-dd12-4780-94db-8efccacde6ae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Bonjour @mostafa.mahfouz@logiclever.com , n'oublie pas d'indiquer ce que tu veux faire de ta prime stp
Attribué à mostafa.mahfouz@logiclever.com
</t>
      </text>
    </comment>
  </commentList>
</comments>
</file>

<file path=xl/sharedStrings.xml><?xml version="1.0" encoding="utf-8"?>
<sst xmlns="http://schemas.openxmlformats.org/spreadsheetml/2006/main" count="8344" uniqueCount="499">
  <si>
    <t>Recap 2026</t>
  </si>
  <si>
    <t>Montant des primes freelance pour le T1 2026</t>
  </si>
  <si>
    <t>Prime perçue</t>
  </si>
  <si>
    <t>Matricule_Perçoit_Prime</t>
  </si>
  <si>
    <t>Prime commerciale freelance</t>
  </si>
  <si>
    <t>T1</t>
  </si>
  <si>
    <t>Prime encadrement</t>
  </si>
  <si>
    <t>Corrections</t>
  </si>
  <si>
    <t>T2</t>
  </si>
  <si>
    <t>T3</t>
  </si>
  <si>
    <t>T4</t>
  </si>
  <si>
    <t>Total général</t>
  </si>
  <si>
    <t xml:space="preserve">Prime </t>
  </si>
  <si>
    <t>ADO</t>
  </si>
  <si>
    <t>Montant des primes freelance pour le T2 2026</t>
  </si>
  <si>
    <t>AMA</t>
  </si>
  <si>
    <t>Recrutement</t>
  </si>
  <si>
    <t>AMO</t>
  </si>
  <si>
    <t>Correction Prime T1</t>
  </si>
  <si>
    <t>CCO</t>
  </si>
  <si>
    <t>Bénéfice LL</t>
  </si>
  <si>
    <t>DMA</t>
  </si>
  <si>
    <t>DZE</t>
  </si>
  <si>
    <t>GBO</t>
  </si>
  <si>
    <t>GLA</t>
  </si>
  <si>
    <t>GME</t>
  </si>
  <si>
    <t>HZO</t>
  </si>
  <si>
    <t>IAB</t>
  </si>
  <si>
    <t>JBO</t>
  </si>
  <si>
    <t>JHU</t>
  </si>
  <si>
    <t>JMM</t>
  </si>
  <si>
    <t>KML</t>
  </si>
  <si>
    <t>MAU</t>
  </si>
  <si>
    <t>MBO</t>
  </si>
  <si>
    <t>MMO</t>
  </si>
  <si>
    <t>MNA</t>
  </si>
  <si>
    <t>Montant des primes freelance pour le T3 2026</t>
  </si>
  <si>
    <t>NSA</t>
  </si>
  <si>
    <t>NVB</t>
  </si>
  <si>
    <t>OHI</t>
  </si>
  <si>
    <t>OLA</t>
  </si>
  <si>
    <t>PLT</t>
  </si>
  <si>
    <t>SAD</t>
  </si>
  <si>
    <t>SAT</t>
  </si>
  <si>
    <t>SEJ</t>
  </si>
  <si>
    <t>SNA</t>
  </si>
  <si>
    <t>SSA</t>
  </si>
  <si>
    <t>MRO</t>
  </si>
  <si>
    <t>VRI</t>
  </si>
  <si>
    <t>YMA</t>
  </si>
  <si>
    <t>Annee</t>
  </si>
  <si>
    <t>Mois</t>
  </si>
  <si>
    <t>Projet</t>
  </si>
  <si>
    <t>Matricule_Consultant_Place</t>
  </si>
  <si>
    <t>Matricule_Percoit_Prime</t>
  </si>
  <si>
    <t>Type_Prime</t>
  </si>
  <si>
    <t>Nb_Jour</t>
  </si>
  <si>
    <t>Montant_Journalier_Cout_LL</t>
  </si>
  <si>
    <t>Montant_Mensuel_Cout_LL</t>
  </si>
  <si>
    <t>ABB - Pilote POA - SUEZ</t>
  </si>
  <si>
    <t>ABB</t>
  </si>
  <si>
    <t>Commerciale freelance</t>
  </si>
  <si>
    <t>Dispositif PO - TotalEnergies</t>
  </si>
  <si>
    <t>ABT</t>
  </si>
  <si>
    <t>ACO - IT Product Manager pour MPS - TOTAL</t>
  </si>
  <si>
    <t>ACO</t>
  </si>
  <si>
    <t>AEA - PPO Moveo - VW IS</t>
  </si>
  <si>
    <t>AEA</t>
  </si>
  <si>
    <t>Encadrement</t>
  </si>
  <si>
    <t>MFE - Delivery Manager - VW IS</t>
  </si>
  <si>
    <t>MFE</t>
  </si>
  <si>
    <t>ADO - BA confirme - VW IS</t>
  </si>
  <si>
    <t>AKE - BA Run editique - VW IS</t>
  </si>
  <si>
    <t>AKE</t>
  </si>
  <si>
    <t>TAN - BA pour demat B2B - VW IS</t>
  </si>
  <si>
    <t>TAN</t>
  </si>
  <si>
    <t>AKB - CP DATA - VW IS</t>
  </si>
  <si>
    <t>AKB</t>
  </si>
  <si>
    <t>TAO - CP Facturation - Generix</t>
  </si>
  <si>
    <t>TAO</t>
  </si>
  <si>
    <t>IHA - Pilotage service controle - Total</t>
  </si>
  <si>
    <t>IHA</t>
  </si>
  <si>
    <t>BMO - BPO operations - Butagaz</t>
  </si>
  <si>
    <t>BMO</t>
  </si>
  <si>
    <t>FRA - CP OPALE - VW IS</t>
  </si>
  <si>
    <t>FRA</t>
  </si>
  <si>
    <t>AMA - RTE EVDC S2 - TOTAL</t>
  </si>
  <si>
    <t>NOU - AMOA Analyste fonctionnel projet 3PO - GRDF</t>
  </si>
  <si>
    <t>NOU</t>
  </si>
  <si>
    <t>AMA - RTE Cockpit - Total</t>
  </si>
  <si>
    <t>YTS - BA 3PO - GRDF</t>
  </si>
  <si>
    <t>YTS</t>
  </si>
  <si>
    <t>MAM - Outillage P2C - GRDF</t>
  </si>
  <si>
    <t>MAM</t>
  </si>
  <si>
    <t>AMO - ACC LOI FINANCE - VW IS</t>
  </si>
  <si>
    <t>MCH - KML - PO Outillage MDM chez GRDF</t>
  </si>
  <si>
    <t>MCH</t>
  </si>
  <si>
    <t>ANN - ANO - Dispositif EDLC - VW IS</t>
  </si>
  <si>
    <t>ANN</t>
  </si>
  <si>
    <t>BMO - PPO LubMarine - TOTAL</t>
  </si>
  <si>
    <t>BTO - AMOA Analyste fonctionnel projet 3PO - GRDF</t>
  </si>
  <si>
    <t>BTO</t>
  </si>
  <si>
    <t>IMT - AMOA Maximo - SNCF</t>
  </si>
  <si>
    <t>IMT</t>
  </si>
  <si>
    <t>KFE - PMO et PPO SI indus - VW IS</t>
  </si>
  <si>
    <t>KFE</t>
  </si>
  <si>
    <t>DLA - CDC BA Teleo - VW IS</t>
  </si>
  <si>
    <t>DLA</t>
  </si>
  <si>
    <t>SBE - PO Data - Franciliane</t>
  </si>
  <si>
    <t>SBE</t>
  </si>
  <si>
    <t>ANO</t>
  </si>
  <si>
    <t>ARA - PM rail - SNCF</t>
  </si>
  <si>
    <t>ARA</t>
  </si>
  <si>
    <t>Commerciale Freelance</t>
  </si>
  <si>
    <t>BTO - BA Facturation SIRIUS - VEOLIA</t>
  </si>
  <si>
    <t>ASA - Appui strategique SI MCP - DSIN010 - Lot B - EDF</t>
  </si>
  <si>
    <t>ASA</t>
  </si>
  <si>
    <t>CAL - BA editique - VW IS</t>
  </si>
  <si>
    <t>CAL</t>
  </si>
  <si>
    <t>AVL - DEV MAXIMO - Franciliane</t>
  </si>
  <si>
    <t>AVL</t>
  </si>
  <si>
    <t>AVL - Expert Maximo - ATOS</t>
  </si>
  <si>
    <t>CLA - Business Analyst Editique - VW IS</t>
  </si>
  <si>
    <t>CLA</t>
  </si>
  <si>
    <t>BHA - Accompagnement pole support CEE</t>
  </si>
  <si>
    <t>BHA</t>
  </si>
  <si>
    <t>CME</t>
  </si>
  <si>
    <t>AMA - Pilotage TPE Cloud - TOTAL</t>
  </si>
  <si>
    <t>CSA - PO MyLubPortal - TOTAL</t>
  </si>
  <si>
    <t>CSA</t>
  </si>
  <si>
    <t>CSI - Responsable Data Migration TED - Total</t>
  </si>
  <si>
    <t>CSI</t>
  </si>
  <si>
    <t>CLM - BA Senior Salesforce - ENGIE</t>
  </si>
  <si>
    <t>CLM</t>
  </si>
  <si>
    <t>DLA - Analyst Fonctionnel Advanced - ENGIE</t>
  </si>
  <si>
    <t>DZE - AMOA solution Sigma V2 - Franciliane</t>
  </si>
  <si>
    <t>DZE - Expert fonctionnel Maximo - ATOS</t>
  </si>
  <si>
    <t>EAS - Piloter le RUN Application Finance - SUEZ</t>
  </si>
  <si>
    <t>EAS</t>
  </si>
  <si>
    <t>EEL - PO Gestion de la demande Data IT4IT - EDF</t>
  </si>
  <si>
    <t>EEL</t>
  </si>
  <si>
    <t>FGU - PO EV Charging - TotalEnergies</t>
  </si>
  <si>
    <t>FGU</t>
  </si>
  <si>
    <t>GBE</t>
  </si>
  <si>
    <t>GBO - PM SI Monetique Reseau - TotalEnergies</t>
  </si>
  <si>
    <t>VRI - JMT - GLA - Execution of Hubgrade@Scale - VNA</t>
  </si>
  <si>
    <t>GMA - AMOA Oxygene - ENEDIS</t>
  </si>
  <si>
    <t>GMA</t>
  </si>
  <si>
    <t>GME - AMOA - efluid</t>
  </si>
  <si>
    <t>GSA - AMOA GINKO - ENEDIS</t>
  </si>
  <si>
    <t>GSA</t>
  </si>
  <si>
    <t>GTA - Dispositif Reporting FSDC - VW IS</t>
  </si>
  <si>
    <t>GTA</t>
  </si>
  <si>
    <t>HBE - POC Agent IA - TotalEnergies</t>
  </si>
  <si>
    <t>HBE</t>
  </si>
  <si>
    <t>HME - EVC gen2 - Total</t>
  </si>
  <si>
    <t>HME</t>
  </si>
  <si>
    <t>HNB - Piloter POA sur les applications TRESO - SUEZ</t>
  </si>
  <si>
    <t>HNB</t>
  </si>
  <si>
    <t>HZO - Appui responsable Pole Fonctionnel BUILD GMAO - SNCF</t>
  </si>
  <si>
    <t>HZO - Analyste fonctionnel SI Expert GOTAM - GRDF</t>
  </si>
  <si>
    <t>IBB - Business Analyst - ENGIE</t>
  </si>
  <si>
    <t>IBB</t>
  </si>
  <si>
    <t>ICH - Business Analyst - ENGIE</t>
  </si>
  <si>
    <t>ICH</t>
  </si>
  <si>
    <t>SAC - Consultante IT SOX/SOD - TotalEnergies</t>
  </si>
  <si>
    <t>ICK</t>
  </si>
  <si>
    <t>ICL - Scrum Master - Total</t>
  </si>
  <si>
    <t>ICL</t>
  </si>
  <si>
    <t>IOM - PO RAIL - SNCF</t>
  </si>
  <si>
    <t>IOM</t>
  </si>
  <si>
    <t>MJE - JBO - CADRAGE ORGANISATION INDUS - VW IS</t>
  </si>
  <si>
    <t>Correction prime</t>
  </si>
  <si>
    <t>JDU - Fai cloture projets - SNCF</t>
  </si>
  <si>
    <t>JDU</t>
  </si>
  <si>
    <t>JFE - Chef de projet GMAO - SNCF</t>
  </si>
  <si>
    <t>JFE</t>
  </si>
  <si>
    <t>JGA - Train Relation Client - ENEDIS</t>
  </si>
  <si>
    <t>JGA</t>
  </si>
  <si>
    <t>JHU - Conseil, prestation developpement applicatif sur le SI Industriel - Franciliane</t>
  </si>
  <si>
    <t>JMM - AMOA Analyste fonctionnel projet 3PO - GRDF</t>
  </si>
  <si>
    <t>JMT</t>
  </si>
  <si>
    <t>DBO - GMAO MAXIMO - SNCF</t>
  </si>
  <si>
    <t>JMU - Refonte des ACI - Franciliane</t>
  </si>
  <si>
    <t>DBO</t>
  </si>
  <si>
    <t>JMU</t>
  </si>
  <si>
    <t>JNO - Chef de projet DataMigration - Total</t>
  </si>
  <si>
    <t>JNO</t>
  </si>
  <si>
    <t>JSI - Business Delivery Manager CRM Cartes - DIAC - TOTAL</t>
  </si>
  <si>
    <t>JSI</t>
  </si>
  <si>
    <t>KJE - ANALYSE INCIDENTS TELEO - VW IS</t>
  </si>
  <si>
    <t>KJE</t>
  </si>
  <si>
    <t>KTA - QA lead - TotalEnergies</t>
  </si>
  <si>
    <t>KTA</t>
  </si>
  <si>
    <t>LBU - BA Facturation - VW IS</t>
  </si>
  <si>
    <t>LBU</t>
  </si>
  <si>
    <t>LME - Product Owner HubB2C - TotalEnergie</t>
  </si>
  <si>
    <t>LME</t>
  </si>
  <si>
    <t>MAI - Mission de conseil a la gestion des deploiements - Mutuaide</t>
  </si>
  <si>
    <t>MAI</t>
  </si>
  <si>
    <t>MAU - Product Manager sur New Front - Manutan</t>
  </si>
  <si>
    <t>MBB - CP Colis Prive - Nomadia</t>
  </si>
  <si>
    <t>MBB</t>
  </si>
  <si>
    <t>MBD - Architecte SI EV - TotalEnergies</t>
  </si>
  <si>
    <t>MBD</t>
  </si>
  <si>
    <t>MBO - CP Services Digitaux - TOTAL</t>
  </si>
  <si>
    <t>SGA - BA Mobilite - VW IS</t>
  </si>
  <si>
    <t>MGO</t>
  </si>
  <si>
    <t>MGO - PM SYSPO - ENEDIS</t>
  </si>
  <si>
    <t>DZE- AMOA Domaine Exploitation - Franciliane</t>
  </si>
  <si>
    <t>MHA - Data Analyst BigQuery / data quality - VW IS</t>
  </si>
  <si>
    <t>MHA</t>
  </si>
  <si>
    <t>MJE</t>
  </si>
  <si>
    <t>MKI - Scrum Master - ENGIE</t>
  </si>
  <si>
    <t>MKI</t>
  </si>
  <si>
    <t>MMA</t>
  </si>
  <si>
    <t>MMI</t>
  </si>
  <si>
    <t>MMO - Chef de projet BPM AAA - TOTAL</t>
  </si>
  <si>
    <t>MMO - Chef de projet BPM EUR - TOTAL</t>
  </si>
  <si>
    <t>MNA - CDP CRM Cartes - DIAC</t>
  </si>
  <si>
    <t>RBR - MNI - Maintenance outils P2C (GRDF)</t>
  </si>
  <si>
    <t>MNI</t>
  </si>
  <si>
    <t>GLA - Developer Data et Deploiement Water Domain - Veolia</t>
  </si>
  <si>
    <t>MRO - PM projet 3PO - GRDF</t>
  </si>
  <si>
    <t>MRO - RTE pour Snap BI - ENEDIS</t>
  </si>
  <si>
    <t>MSI - AMOA Colis Prive - NOMADIA</t>
  </si>
  <si>
    <t>MSI</t>
  </si>
  <si>
    <t>MZO - expertise Dynamics sur le projet de migration du CRM - TotalEnergies</t>
  </si>
  <si>
    <t>MZO</t>
  </si>
  <si>
    <t>NOU - Adjoint Lead chantier Back Office - VEOLIA</t>
  </si>
  <si>
    <t>NSA - AMOA GMAO SPOT - SNCF</t>
  </si>
  <si>
    <t>NVB - AMOA SPOT - SNCF</t>
  </si>
  <si>
    <t>OBA - PPO Track and Trace MS - Total</t>
  </si>
  <si>
    <t>OBA</t>
  </si>
  <si>
    <t>OLA - INFRA - FRANCILIANE</t>
  </si>
  <si>
    <t>OSA - BA sur l'application IFK - VW IS</t>
  </si>
  <si>
    <t>OSA</t>
  </si>
  <si>
    <t>PLT - PMO et PPO SI indus - VW IS</t>
  </si>
  <si>
    <t>PLT - CP EVDC - Total</t>
  </si>
  <si>
    <t>PSM - Change Manager - VW IS</t>
  </si>
  <si>
    <t>PSM</t>
  </si>
  <si>
    <t>RBR</t>
  </si>
  <si>
    <t>RCH - Dispositif Observatoire des usages - VW IS</t>
  </si>
  <si>
    <t>RCH</t>
  </si>
  <si>
    <t>RHA - CP Septeo - Nomadia</t>
  </si>
  <si>
    <t>RHA</t>
  </si>
  <si>
    <t>RLO - Business Analyst Domaine STSE - Total</t>
  </si>
  <si>
    <t>RLO</t>
  </si>
  <si>
    <t>SAC</t>
  </si>
  <si>
    <t>SAD - PP-TELEO - VW IS</t>
  </si>
  <si>
    <t>SAT - PPO - TOTAL</t>
  </si>
  <si>
    <t>TTR</t>
  </si>
  <si>
    <t>SEJ - CP projet Services Digitaux - TOTAL</t>
  </si>
  <si>
    <t>SEO - Appui metier EV Dynamics - Total</t>
  </si>
  <si>
    <t>SEO</t>
  </si>
  <si>
    <t>SGA</t>
  </si>
  <si>
    <t>SLI - PMO Monetique - Total</t>
  </si>
  <si>
    <t>SLI</t>
  </si>
  <si>
    <t>SLU - Developpeur Equipe Outillage MDM - GRDF</t>
  </si>
  <si>
    <t>SLU</t>
  </si>
  <si>
    <t>SMA - PM VELIGO - LA POSTE</t>
  </si>
  <si>
    <t>SMA</t>
  </si>
  <si>
    <t>SMI - Appui PO sur EV Portal / Cockpit - Total</t>
  </si>
  <si>
    <t>SMI</t>
  </si>
  <si>
    <t>SNA - AMOA projets MonAgence360 et MonContrat 360 - SUEZ</t>
  </si>
  <si>
    <t>SSA - Piloter Responsable applicatif - SUEZ</t>
  </si>
  <si>
    <t>TST - BPO SIS - TOTAL</t>
  </si>
  <si>
    <t>TST</t>
  </si>
  <si>
    <t>UMU - PO PROTEINE COREAL VERSO - RTE</t>
  </si>
  <si>
    <t>UMU</t>
  </si>
  <si>
    <t>VGR - BA Salesforce - ENGIE</t>
  </si>
  <si>
    <t>VGR</t>
  </si>
  <si>
    <t>YLE - renfort RTE sur Agilisation Cardpro - TOTAL</t>
  </si>
  <si>
    <t>YLE</t>
  </si>
  <si>
    <t>YLT - CP AMOA Projet Move2Cloud - Franciliane</t>
  </si>
  <si>
    <t>YLT</t>
  </si>
  <si>
    <t>YMA - Refonte CRM cartes et BPM - Total</t>
  </si>
  <si>
    <t>YRN - AMAO GMAO SPOT - SNCF</t>
  </si>
  <si>
    <t>YRN</t>
  </si>
  <si>
    <t>ELB</t>
  </si>
  <si>
    <t>MAO - AMOA 3PO - GRDF</t>
  </si>
  <si>
    <t>MAO</t>
  </si>
  <si>
    <t>MBH - PO Power &amp; Pricing - TOTAL</t>
  </si>
  <si>
    <t>MBH</t>
  </si>
  <si>
    <t>MTO - Communication / Marketing - VEOLIA N.A.</t>
  </si>
  <si>
    <t>MTO</t>
  </si>
  <si>
    <t>NHI - AMOA Analyste fonctionnel projet 3PO - GRDF</t>
  </si>
  <si>
    <t>NHI</t>
  </si>
  <si>
    <t>Montant des primes freelance pour le T4 2026</t>
  </si>
  <si>
    <t xml:space="preserve">Forfait calculé : </t>
  </si>
  <si>
    <t>70€ pour 3 encadrements actifs à la fin de la période</t>
  </si>
  <si>
    <t>- 19 consultants en encadrement actif sans date de fin</t>
  </si>
  <si>
    <t>- 5 consultants dont l'encadrement s'est terminé sur le T1 2026</t>
  </si>
  <si>
    <t>T1 2026</t>
  </si>
  <si>
    <t>Nbre</t>
  </si>
  <si>
    <t>Tarif</t>
  </si>
  <si>
    <t>Kick-off encadrement</t>
  </si>
  <si>
    <t>Suivi des encadrement</t>
  </si>
  <si>
    <t>ATTENTION, Alex a surfacturé 1 suivi des encadrements sur le T1, a rattrapper sur le T2</t>
  </si>
  <si>
    <t>Valeur Action LL</t>
  </si>
  <si>
    <t>Coef Brut Salarié --&gt; AGA</t>
  </si>
  <si>
    <t>Conversion en Actions Gratuites 2023</t>
  </si>
  <si>
    <t>Actions LL</t>
  </si>
  <si>
    <t>Total</t>
  </si>
  <si>
    <t>RATIO actions LL/Total</t>
  </si>
  <si>
    <t>Nb actions correspondantes</t>
  </si>
  <si>
    <t>Prime sur salaire €</t>
  </si>
  <si>
    <t>Verif Montant action LL</t>
  </si>
  <si>
    <t>AVA</t>
  </si>
  <si>
    <t>KSA</t>
  </si>
  <si>
    <t>RBE</t>
  </si>
  <si>
    <t>LDO</t>
  </si>
  <si>
    <t>MGU</t>
  </si>
  <si>
    <t>VZA</t>
  </si>
  <si>
    <t>Montant des primes salariés pour le T1 2026</t>
  </si>
  <si>
    <t>Prime commerciale salarie</t>
  </si>
  <si>
    <t>Montant demandé en salaire</t>
  </si>
  <si>
    <t>Montant demandé en AGA</t>
  </si>
  <si>
    <t>payé lors du STC</t>
  </si>
  <si>
    <t>Montant des primes salariés pour le T2 2026</t>
  </si>
  <si>
    <t>Montant_Journalier_Brut_Salarie</t>
  </si>
  <si>
    <t>Montant_Mensuel_Brut_Salarie</t>
  </si>
  <si>
    <t>Commerciale salarie</t>
  </si>
  <si>
    <t>AV26 - Recette VCMS</t>
  </si>
  <si>
    <t>AHM</t>
  </si>
  <si>
    <t>AV26 - Conception - Specification ITC</t>
  </si>
  <si>
    <t>CBO - Integration facturation travaux - Franciliane</t>
  </si>
  <si>
    <t>CBO</t>
  </si>
  <si>
    <t>encadrement</t>
  </si>
  <si>
    <t>DSA - Administrateur Fonctionnel Front Office - Franciliane</t>
  </si>
  <si>
    <t>DSA</t>
  </si>
  <si>
    <t>FMA - AMOA Vigio - Franciliane</t>
  </si>
  <si>
    <t>FMA</t>
  </si>
  <si>
    <t>FMA - DVP ServO - Franciliane</t>
  </si>
  <si>
    <t>IAB - PO Maximo - SNCF</t>
  </si>
  <si>
    <t>JBQ - AMOA Etude Energie - Franciliane</t>
  </si>
  <si>
    <t>JBQ</t>
  </si>
  <si>
    <t>VZA - PO - Franciliane</t>
  </si>
  <si>
    <t>YDR - Bigdata Engineer PII/D4B - Franciliane</t>
  </si>
  <si>
    <t>YDR</t>
  </si>
  <si>
    <t>Montant des primes salariés pour le T3 2026</t>
  </si>
  <si>
    <t>Montant des primes salariés pour le T4 2026</t>
  </si>
  <si>
    <t>PRIMES T1</t>
  </si>
  <si>
    <t>Nom</t>
  </si>
  <si>
    <t>Matricule</t>
  </si>
  <si>
    <t>Civilité</t>
  </si>
  <si>
    <t>Prénom</t>
  </si>
  <si>
    <t>fusion</t>
  </si>
  <si>
    <t>M.</t>
  </si>
  <si>
    <t>Charlie</t>
  </si>
  <si>
    <t>ALLARD</t>
  </si>
  <si>
    <t>Mohammed</t>
  </si>
  <si>
    <t>AMMARA</t>
  </si>
  <si>
    <t>Mme.</t>
  </si>
  <si>
    <t>Tatiana</t>
  </si>
  <si>
    <t>ANDRIANONY</t>
  </si>
  <si>
    <t>Ibtissam</t>
  </si>
  <si>
    <t>BELAIB</t>
  </si>
  <si>
    <t>EBS</t>
  </si>
  <si>
    <t>Elmehdi</t>
  </si>
  <si>
    <t>BEN SMAIL</t>
  </si>
  <si>
    <t>Guillaume</t>
  </si>
  <si>
    <t>BEST</t>
  </si>
  <si>
    <t>JLB</t>
  </si>
  <si>
    <t>Jean-Ludovic</t>
  </si>
  <si>
    <t>BLANCHON</t>
  </si>
  <si>
    <t>Laure</t>
  </si>
  <si>
    <t>BUONONATO</t>
  </si>
  <si>
    <t>Isselt</t>
  </si>
  <si>
    <t>CHAMPION</t>
  </si>
  <si>
    <t>Marine</t>
  </si>
  <si>
    <t>CHARRIER</t>
  </si>
  <si>
    <t>CDE</t>
  </si>
  <si>
    <t>Célia</t>
  </si>
  <si>
    <t>DERRADJI</t>
  </si>
  <si>
    <t>Alexandre</t>
  </si>
  <si>
    <t>DOZ</t>
  </si>
  <si>
    <t>Jérémy</t>
  </si>
  <si>
    <t>DUGAS</t>
  </si>
  <si>
    <t>Emmanuel</t>
  </si>
  <si>
    <t>ELIAS</t>
  </si>
  <si>
    <t>LFA</t>
  </si>
  <si>
    <t>Louis</t>
  </si>
  <si>
    <t>FABRE</t>
  </si>
  <si>
    <t>Jonathan</t>
  </si>
  <si>
    <t>FERNANDES</t>
  </si>
  <si>
    <t>Jules</t>
  </si>
  <si>
    <t>GALIANO</t>
  </si>
  <si>
    <t>Sakthivel</t>
  </si>
  <si>
    <t>GANABADY</t>
  </si>
  <si>
    <t>IGE</t>
  </si>
  <si>
    <t>Ingrid</t>
  </si>
  <si>
    <t>GERGAUD</t>
  </si>
  <si>
    <t>Virgile</t>
  </si>
  <si>
    <t>GRAMMONT</t>
  </si>
  <si>
    <t>Muriel</t>
  </si>
  <si>
    <t>GUIOCHET</t>
  </si>
  <si>
    <t>Ikram</t>
  </si>
  <si>
    <t>HAMDACHE</t>
  </si>
  <si>
    <t>Kawthar</t>
  </si>
  <si>
    <t>JENFI</t>
  </si>
  <si>
    <t>David</t>
  </si>
  <si>
    <t>LACHKEUR</t>
  </si>
  <si>
    <t>LLA</t>
  </si>
  <si>
    <t>Loïc</t>
  </si>
  <si>
    <t>LAVERGNE</t>
  </si>
  <si>
    <t>Camille</t>
  </si>
  <si>
    <t>Le Meut</t>
  </si>
  <si>
    <t>Yannick</t>
  </si>
  <si>
    <t>LEBRETON</t>
  </si>
  <si>
    <t>Mostafa</t>
  </si>
  <si>
    <t>MAHFOUZ</t>
  </si>
  <si>
    <t>MARIAUD</t>
  </si>
  <si>
    <t>Chloé</t>
  </si>
  <si>
    <t>MENIGOZ</t>
  </si>
  <si>
    <t>MERCIER</t>
  </si>
  <si>
    <t>VMI</t>
  </si>
  <si>
    <t>Vanessa</t>
  </si>
  <si>
    <t>MILORD</t>
  </si>
  <si>
    <t>Baptiste</t>
  </si>
  <si>
    <t>MOUTINHO</t>
  </si>
  <si>
    <t>Umair</t>
  </si>
  <si>
    <t>MUMTAZ</t>
  </si>
  <si>
    <t>Anny</t>
  </si>
  <si>
    <t>NGO NGAN</t>
  </si>
  <si>
    <t>Alice</t>
  </si>
  <si>
    <t>NOWICKI</t>
  </si>
  <si>
    <t>Iheb</t>
  </si>
  <si>
    <t>OMRI</t>
  </si>
  <si>
    <t>Naïm</t>
  </si>
  <si>
    <t>OUARAZ</t>
  </si>
  <si>
    <t>Aurélie</t>
  </si>
  <si>
    <t>RAISON</t>
  </si>
  <si>
    <t>Ahmed</t>
  </si>
  <si>
    <t>SAIDI</t>
  </si>
  <si>
    <t>Omar</t>
  </si>
  <si>
    <t>SALEHDDINE</t>
  </si>
  <si>
    <t>Gabriel</t>
  </si>
  <si>
    <t>SARR</t>
  </si>
  <si>
    <t>Margaux</t>
  </si>
  <si>
    <t>SIMON</t>
  </si>
  <si>
    <t>Ghizlane</t>
  </si>
  <si>
    <t>TAYAA</t>
  </si>
  <si>
    <t>Mélina</t>
  </si>
  <si>
    <t>TOMASSI</t>
  </si>
  <si>
    <t>Arthur</t>
  </si>
  <si>
    <t>VARY</t>
  </si>
  <si>
    <t>Vincent</t>
  </si>
  <si>
    <t>ZANOL</t>
  </si>
  <si>
    <t>ABO - Project Manager / Director-Advanced ENGIE</t>
  </si>
  <si>
    <t>ABO</t>
  </si>
  <si>
    <t>ADO - BUSINESS ANALYST CONFIRME - VEOLIA</t>
  </si>
  <si>
    <t>AHJ - Business Process Manager - TOTAL</t>
  </si>
  <si>
    <t>AHJ</t>
  </si>
  <si>
    <t>AMI - accompagnement outil IT - ERAMET</t>
  </si>
  <si>
    <t>AMI</t>
  </si>
  <si>
    <t>AMO - Cadrage demat B2B - VW IS</t>
  </si>
  <si>
    <t>ANN - modelisation des contrats - VW IS</t>
  </si>
  <si>
    <t>ANO - CP transformation digitale - VW IS</t>
  </si>
  <si>
    <t>CME - PO CDP Cockpit - Total</t>
  </si>
  <si>
    <t>Mise a jour de la documentation du SI - VEDIF</t>
  </si>
  <si>
    <t>CME - Train Relation Client - ENEDIS</t>
  </si>
  <si>
    <t>GAN - Responsable Data Migration TED - Total</t>
  </si>
  <si>
    <t>NHA - AMOA BDM - Franciliane</t>
  </si>
  <si>
    <t>ELB - Product Owner Salsa Dynamics - TOTAL</t>
  </si>
  <si>
    <t>GAN</t>
  </si>
  <si>
    <t>GLA - Tech Cloud &amp; Data of Hubgrade@Scale - VNA</t>
  </si>
  <si>
    <t>GTA - DA DATA - VW IS</t>
  </si>
  <si>
    <t>GBE - Customer Care - Be Mo - TotalEnergies</t>
  </si>
  <si>
    <t>JBO - Piloter le projet OPALE - VW IS</t>
  </si>
  <si>
    <t>JBO - Responsable delivery - Franciliane</t>
  </si>
  <si>
    <t>JDU - Developpeur Equipe Outillage MDM - GRDF</t>
  </si>
  <si>
    <t>JGA - MNI - Maintenance outils P2C (GRDF)</t>
  </si>
  <si>
    <t>JLC - OPEX - Franciliane</t>
  </si>
  <si>
    <t>JLC</t>
  </si>
  <si>
    <t>KJE - Teleo - RUN - VEOLIA</t>
  </si>
  <si>
    <t>KSC - PO application mobile - TOTAL</t>
  </si>
  <si>
    <t>KSC</t>
  </si>
  <si>
    <t>MAM-SGA - Outillage P2C - GRDF</t>
  </si>
  <si>
    <t>MAU - Chef de Projet - Mutuaide</t>
  </si>
  <si>
    <t>MJE - Cadrage LERNE - VEOLIA</t>
  </si>
  <si>
    <t>MMA - BA Paiement et Facturation - TotalEnergies</t>
  </si>
  <si>
    <t>MUP - CP projets ACT &amp; SI - Total</t>
  </si>
  <si>
    <t>MUP</t>
  </si>
  <si>
    <t>NHA</t>
  </si>
  <si>
    <t>OBA - Proxi PO - DIT MS - Total</t>
  </si>
  <si>
    <t>OHI - Business PM EV Dynamics - TotalEnergies</t>
  </si>
  <si>
    <t>OSA - BA sur l'application IFK - VEOLIA</t>
  </si>
  <si>
    <t>PLT - PMO informatique industrielle - VW IS</t>
  </si>
  <si>
    <t>RCH - Accompagnement Data et AI - VW IS</t>
  </si>
  <si>
    <t>SEJ - PO deploiement - TOTAL</t>
  </si>
  <si>
    <t>SHA - Business Analyst - ENGIE</t>
  </si>
  <si>
    <t>SHA</t>
  </si>
  <si>
    <t>SLA - Analyste fonctionnel SI Expert GOTAM - GRDF</t>
  </si>
  <si>
    <t>SLA</t>
  </si>
  <si>
    <t>UMU - PM SYSPO - ENEDIS</t>
  </si>
  <si>
    <t>VRI - Execution of Hubgrade@Scale - VNA</t>
  </si>
  <si>
    <t xml:space="preserve">VRI - JMT - GLA - Execution of Hubgrade@Scale - VNA
</t>
  </si>
  <si>
    <t>YLT - CP AMOA projet ITC - Franciliane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</si>
</sst>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\ [$€-1]"/>
    <numFmt numFmtId="165" formatCode="0.0"/>
    <numFmt numFmtId="166" formatCode="#,##0.00\ [$€-1]"/>
    <numFmt numFmtId="167" formatCode="#,##0.00&quot;€&quot;"/>
    <numFmt numFmtId="168" formatCode="_(* #,##0_)\ [$€-1]_);\(#,##0\)\ [$€-1]_);_(* &quot;-&quot;??_)\ [$€-1]_);_(@"/>
    <numFmt numFmtId="169" formatCode="#,##0.0\ [$€-1]"/>
  </numFmts>
  <fonts count="28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3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/>
    <font>
      <u/>
      <color rgb="FF1155CC"/>
    </font>
    <font>
      <sz val="10.0"/>
      <color theme="1"/>
      <name val="Lexend"/>
    </font>
    <font>
      <sz val="12.0"/>
      <color theme="1"/>
      <name val="Arial"/>
      <scheme val="minor"/>
    </font>
    <font>
      <u/>
      <color rgb="FF1155CC"/>
      <name val="Arial"/>
      <scheme val="minor"/>
    </font>
    <font>
      <color rgb="FF000000"/>
      <name val="Arial"/>
    </font>
    <font>
      <b/>
      <color rgb="FF000000"/>
      <name val="Arial"/>
    </font>
    <font>
      <b/>
      <color theme="1"/>
      <name val="Arial"/>
    </font>
    <font>
      <sz val="11.0"/>
      <color theme="1"/>
      <name val="Calibri"/>
    </font>
    <font>
      <color rgb="FFFF0000"/>
      <name val="Arial"/>
      <scheme val="minor"/>
    </font>
    <font>
      <sz val="11.0"/>
      <color rgb="FFFF0000"/>
      <name val="Calibri"/>
    </font>
    <font>
      <color rgb="FFFF0000"/>
      <name val="Arial"/>
    </font>
    <font>
      <color theme="1"/>
      <name val="Calibri"/>
    </font>
    <font>
      <color rgb="FFFFFFFF"/>
      <name val="Arial"/>
      <scheme val="minor"/>
    </font>
    <font>
      <color rgb="FF000000"/>
      <name val="Arial"/>
      <scheme val="minor"/>
    </font>
    <font>
      <sz val="11.0"/>
      <color rgb="FF000000"/>
      <name val="Calibri"/>
    </font>
    <font>
      <b/>
      <color rgb="FFFFFFFF"/>
      <name val="Arial"/>
      <scheme val="minor"/>
    </font>
    <font>
      <sz val="11.0"/>
      <color theme="1"/>
      <name val="Arial"/>
      <scheme val="minor"/>
    </font>
    <font>
      <b/>
      <color rgb="FF000000"/>
      <name val="Arial"/>
      <scheme val="minor"/>
    </font>
    <font>
      <color theme="1"/>
      <name val="Arial"/>
    </font>
    <font>
      <b/>
      <sz val="15.0"/>
      <color theme="1"/>
      <name val="Arial"/>
      <scheme val="minor"/>
    </font>
    <font>
      <sz val="11.0"/>
      <color rgb="FF000000"/>
      <name val="&quot;Aptos Narrow&quot;"/>
    </font>
  </fonts>
  <fills count="1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1" fillId="2" fontId="3" numFmtId="0" xfId="0" applyAlignment="1" applyBorder="1" applyFill="1" applyFont="1">
      <alignment readingOrder="0" shrinkToFit="0" vertical="center" wrapText="1"/>
    </xf>
    <xf borderId="3" fillId="2" fontId="4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4" fillId="0" fontId="6" numFmtId="0" xfId="0" applyBorder="1" applyFont="1"/>
    <xf borderId="1" fillId="2" fontId="4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5" fillId="0" fontId="6" numFmtId="0" xfId="0" applyBorder="1" applyFont="1"/>
    <xf borderId="1" fillId="3" fontId="4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0" fontId="4" numFmtId="164" xfId="0" applyBorder="1" applyFont="1" applyNumberFormat="1"/>
    <xf borderId="1" fillId="4" fontId="7" numFmtId="0" xfId="0" applyAlignment="1" applyBorder="1" applyFill="1" applyFont="1">
      <alignment horizontal="center" readingOrder="0"/>
    </xf>
    <xf borderId="1" fillId="5" fontId="4" numFmtId="164" xfId="0" applyBorder="1" applyFill="1" applyFont="1" applyNumberFormat="1"/>
    <xf borderId="0" fillId="0" fontId="8" numFmtId="164" xfId="0" applyAlignment="1" applyFont="1" applyNumberFormat="1">
      <alignment horizontal="right" readingOrder="0"/>
    </xf>
    <xf borderId="0" fillId="0" fontId="9" numFmtId="0" xfId="0" applyAlignment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4" fontId="10" numFmtId="0" xfId="0" applyAlignment="1" applyBorder="1" applyFill="1" applyFont="1">
      <alignment horizontal="center" readingOrder="0"/>
    </xf>
    <xf borderId="1" fillId="0" fontId="11" numFmtId="3" xfId="0" applyAlignment="1" applyBorder="1" applyFont="1" applyNumberFormat="1">
      <alignment horizontal="right" readingOrder="0" shrinkToFit="0" vertical="bottom" wrapText="0"/>
    </xf>
    <xf borderId="1" fillId="0" fontId="11" numFmtId="164" xfId="0" applyAlignment="1" applyBorder="1" applyFont="1" applyNumberFormat="1">
      <alignment readingOrder="0" shrinkToFit="0" vertical="bottom" wrapText="0"/>
    </xf>
    <xf borderId="1" fillId="0" fontId="12" numFmtId="164" xfId="0" applyAlignment="1" applyBorder="1" applyFont="1" applyNumberFormat="1">
      <alignment horizontal="right" readingOrder="0" shrinkToFit="0" vertical="bottom" wrapText="0"/>
    </xf>
    <xf borderId="1" fillId="5" fontId="12" numFmtId="164" xfId="0" applyAlignment="1" applyBorder="1" applyFill="1" applyFont="1" applyNumberFormat="1">
      <alignment horizontal="right" readingOrder="0" shrinkToFit="0" vertical="bottom" wrapText="0"/>
    </xf>
    <xf borderId="1" fillId="6" fontId="12" numFmtId="164" xfId="0" applyAlignment="1" applyBorder="1" applyFill="1" applyFont="1" applyNumberFormat="1">
      <alignment horizontal="right" readingOrder="0" shrinkToFit="0" vertical="bottom" wrapText="0"/>
    </xf>
    <xf borderId="1" fillId="0" fontId="3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1" fillId="0" fontId="11" numFmtId="3" xfId="0" applyAlignment="1" applyBorder="1" applyFont="1" applyNumberFormat="1">
      <alignment readingOrder="0" shrinkToFit="0" vertical="bottom" wrapText="0"/>
    </xf>
    <xf borderId="1" fillId="0" fontId="11" numFmtId="164" xfId="0" applyAlignment="1" applyBorder="1" applyFont="1" applyNumberFormat="1">
      <alignment shrinkToFit="0" vertical="bottom" wrapText="0"/>
    </xf>
    <xf borderId="0" fillId="0" fontId="3" numFmtId="0" xfId="0" applyAlignment="1" applyFont="1">
      <alignment horizontal="right" readingOrder="0"/>
    </xf>
    <xf borderId="1" fillId="0" fontId="3" numFmtId="164" xfId="0" applyBorder="1" applyFont="1" applyNumberFormat="1"/>
    <xf borderId="0" fillId="0" fontId="3" numFmtId="164" xfId="0" applyFont="1" applyNumberFormat="1"/>
    <xf borderId="1" fillId="0" fontId="11" numFmtId="164" xfId="0" applyAlignment="1" applyBorder="1" applyFont="1" applyNumberFormat="1">
      <alignment horizontal="right" readingOrder="0" shrinkToFit="0" vertical="bottom" wrapText="0"/>
    </xf>
    <xf borderId="0" fillId="0" fontId="3" numFmtId="164" xfId="0" applyFont="1" applyNumberFormat="1"/>
    <xf borderId="0" fillId="0" fontId="3" numFmtId="0" xfId="0" applyAlignment="1" applyFont="1">
      <alignment readingOrder="0"/>
    </xf>
    <xf borderId="1" fillId="0" fontId="13" numFmtId="164" xfId="0" applyAlignment="1" applyBorder="1" applyFont="1" applyNumberFormat="1">
      <alignment horizontal="right" readingOrder="0" shrinkToFit="0" vertical="bottom" wrapText="0"/>
    </xf>
    <xf borderId="1" fillId="0" fontId="4" numFmtId="0" xfId="0" applyBorder="1" applyFont="1"/>
    <xf borderId="1" fillId="0" fontId="3" numFmtId="164" xfId="0" applyAlignment="1" applyBorder="1" applyFont="1" applyNumberFormat="1">
      <alignment horizontal="center"/>
    </xf>
    <xf borderId="1" fillId="0" fontId="4" numFmtId="3" xfId="0" applyBorder="1" applyFont="1" applyNumberFormat="1"/>
    <xf borderId="1" fillId="2" fontId="3" numFmtId="0" xfId="0" applyAlignment="1" applyBorder="1" applyFill="1" applyFont="1">
      <alignment readingOrder="0"/>
    </xf>
    <xf borderId="1" fillId="7" fontId="3" numFmtId="0" xfId="0" applyAlignment="1" applyBorder="1" applyFill="1" applyFont="1">
      <alignment readingOrder="0"/>
    </xf>
    <xf borderId="1" fillId="0" fontId="11" numFmtId="3" xfId="0" applyAlignment="1" applyBorder="1" applyFont="1" applyNumberFormat="1">
      <alignment shrinkToFit="0" vertical="bottom" wrapText="0"/>
    </xf>
    <xf borderId="1" fillId="0" fontId="14" numFmtId="0" xfId="0" applyAlignment="1" applyBorder="1" applyFont="1">
      <alignment readingOrder="0" vertical="bottom"/>
    </xf>
    <xf borderId="1" fillId="0" fontId="3" numFmtId="1" xfId="0" applyAlignment="1" applyBorder="1" applyFont="1" applyNumberFormat="1">
      <alignment readingOrder="0"/>
    </xf>
    <xf borderId="1" fillId="7" fontId="3" numFmtId="0" xfId="0" applyAlignment="1" applyBorder="1" applyFill="1" applyFont="1">
      <alignment horizontal="left" readingOrder="0"/>
    </xf>
    <xf borderId="0" fillId="0" fontId="3" numFmtId="164" xfId="0" applyAlignment="1" applyFont="1" applyNumberFormat="1">
      <alignment shrinkToFit="0" vertical="center" wrapText="1"/>
    </xf>
    <xf borderId="0" fillId="0" fontId="3" numFmtId="1" xfId="0" applyAlignment="1" applyFont="1" applyNumberFormat="1">
      <alignment readingOrder="0"/>
    </xf>
    <xf borderId="1" fillId="0" fontId="15" numFmtId="0" xfId="0" applyAlignment="1" applyBorder="1" applyFont="1">
      <alignment readingOrder="0"/>
    </xf>
    <xf borderId="1" fillId="0" fontId="16" numFmtId="0" xfId="0" applyAlignment="1" applyBorder="1" applyFont="1">
      <alignment readingOrder="0" vertical="bottom"/>
    </xf>
    <xf borderId="0" fillId="0" fontId="15" numFmtId="0" xfId="0" applyFont="1"/>
    <xf borderId="1" fillId="8" fontId="3" numFmtId="0" xfId="0" applyAlignment="1" applyBorder="1" applyFill="1" applyFont="1">
      <alignment readingOrder="0"/>
    </xf>
    <xf borderId="0" fillId="0" fontId="3" numFmtId="1" xfId="0" applyAlignment="1" applyFont="1" applyNumberFormat="1">
      <alignment horizontal="right" readingOrder="0"/>
    </xf>
    <xf borderId="1" fillId="0" fontId="3" numFmtId="165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horizontal="right" readingOrder="0"/>
    </xf>
    <xf borderId="1" fillId="0" fontId="3" numFmtId="0" xfId="0" applyBorder="1" applyFont="1"/>
    <xf borderId="1" fillId="0" fontId="3" numFmtId="166" xfId="0" applyAlignment="1" applyBorder="1" applyFont="1" applyNumberFormat="1">
      <alignment readingOrder="0"/>
    </xf>
    <xf borderId="1" fillId="0" fontId="17" numFmtId="0" xfId="0" applyAlignment="1" applyBorder="1" applyFont="1">
      <alignment horizontal="right" vertical="bottom"/>
    </xf>
    <xf borderId="1" fillId="0" fontId="17" numFmtId="0" xfId="0" applyAlignment="1" applyBorder="1" applyFont="1">
      <alignment vertical="bottom"/>
    </xf>
    <xf borderId="1" fillId="0" fontId="17" numFmtId="0" xfId="0" applyAlignment="1" applyBorder="1" applyFont="1">
      <alignment vertical="bottom"/>
    </xf>
    <xf borderId="1" fillId="0" fontId="17" numFmtId="0" xfId="0" applyAlignment="1" applyBorder="1" applyFont="1">
      <alignment readingOrder="0" vertical="bottom"/>
    </xf>
    <xf borderId="1" fillId="0" fontId="17" numFmtId="164" xfId="0" applyAlignment="1" applyBorder="1" applyFont="1" applyNumberFormat="1">
      <alignment horizontal="right" vertical="bottom"/>
    </xf>
    <xf borderId="0" fillId="0" fontId="14" numFmtId="0" xfId="0" applyAlignment="1" applyFont="1">
      <alignment readingOrder="0" vertical="bottom"/>
    </xf>
    <xf borderId="1" fillId="3" fontId="4" numFmtId="0" xfId="0" applyAlignment="1" applyBorder="1" applyFill="1" applyFont="1">
      <alignment horizontal="right" readingOrder="0"/>
    </xf>
    <xf borderId="1" fillId="9" fontId="4" numFmtId="0" xfId="0" applyBorder="1" applyFill="1" applyFont="1"/>
    <xf borderId="1" fillId="9" fontId="3" numFmtId="164" xfId="0" applyBorder="1" applyFill="1" applyFont="1" applyNumberFormat="1"/>
    <xf borderId="1" fillId="9" fontId="3" numFmtId="164" xfId="0" applyBorder="1" applyFill="1" applyFont="1" applyNumberFormat="1"/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18" numFmtId="0" xfId="0" applyAlignment="1" applyFont="1">
      <alignment horizontal="right" shrinkToFit="0" vertical="center" wrapText="1"/>
    </xf>
    <xf borderId="0" fillId="0" fontId="18" numFmtId="167" xfId="0" applyAlignment="1" applyFont="1" applyNumberFormat="1">
      <alignment horizontal="right" readingOrder="0" shrinkToFit="0" vertical="center" wrapText="1"/>
    </xf>
    <xf borderId="0" fillId="0" fontId="3" numFmtId="9" xfId="0" applyFont="1" applyNumberFormat="1"/>
    <xf borderId="6" fillId="0" fontId="6" numFmtId="0" xfId="0" applyBorder="1" applyFont="1"/>
    <xf borderId="0" fillId="10" fontId="19" numFmtId="0" xfId="0" applyAlignment="1" applyFill="1" applyFont="1">
      <alignment readingOrder="0"/>
    </xf>
    <xf borderId="5" fillId="2" fontId="3" numFmtId="0" xfId="0" applyAlignment="1" applyBorder="1" applyFill="1" applyFont="1">
      <alignment shrinkToFit="0" vertical="center" wrapText="1"/>
    </xf>
    <xf borderId="1" fillId="4" fontId="20" numFmtId="0" xfId="0" applyAlignment="1" applyBorder="1" applyFill="1" applyFont="1">
      <alignment horizontal="center" readingOrder="0"/>
    </xf>
    <xf borderId="7" fillId="11" fontId="4" numFmtId="9" xfId="0" applyAlignment="1" applyBorder="1" applyFill="1" applyFont="1" applyNumberFormat="1">
      <alignment horizontal="center" readingOrder="0"/>
    </xf>
    <xf borderId="8" fillId="12" fontId="13" numFmtId="0" xfId="0" applyAlignment="1" applyBorder="1" applyFill="1" applyFont="1">
      <alignment horizontal="center" vertical="bottom"/>
    </xf>
    <xf borderId="9" fillId="12" fontId="13" numFmtId="0" xfId="0" applyAlignment="1" applyBorder="1" applyFill="1" applyFont="1">
      <alignment horizontal="center" readingOrder="0" vertical="bottom"/>
    </xf>
    <xf borderId="1" fillId="13" fontId="3" numFmtId="0" xfId="0" applyAlignment="1" applyBorder="1" applyFill="1" applyFont="1">
      <alignment readingOrder="0"/>
    </xf>
    <xf borderId="1" fillId="13" fontId="3" numFmtId="3" xfId="0" applyBorder="1" applyFill="1" applyFont="1" applyNumberFormat="1"/>
    <xf borderId="1" fillId="14" fontId="3" numFmtId="3" xfId="0" applyBorder="1" applyFill="1" applyFont="1" applyNumberFormat="1"/>
    <xf borderId="1" fillId="14" fontId="4" numFmtId="3" xfId="0" applyBorder="1" applyFill="1" applyFont="1" applyNumberFormat="1"/>
    <xf borderId="0" fillId="14" fontId="4" numFmtId="9" xfId="0" applyFill="1" applyFont="1" applyNumberFormat="1"/>
    <xf borderId="0" fillId="0" fontId="3" numFmtId="168" xfId="0" applyFont="1" applyNumberFormat="1"/>
    <xf borderId="1" fillId="0" fontId="3" numFmtId="3" xfId="0" applyBorder="1" applyFont="1" applyNumberFormat="1"/>
    <xf borderId="0" fillId="0" fontId="3" numFmtId="10" xfId="0" applyFont="1" applyNumberFormat="1"/>
    <xf borderId="0" fillId="0" fontId="3" numFmtId="169" xfId="0" applyAlignment="1" applyFont="1" applyNumberFormat="1">
      <alignment readingOrder="0"/>
    </xf>
    <xf borderId="10" fillId="0" fontId="21" numFmtId="0" xfId="0" applyAlignment="1" applyBorder="1" applyFont="1">
      <alignment horizontal="right" readingOrder="0" vertical="bottom"/>
    </xf>
    <xf borderId="1" fillId="0" fontId="3" numFmtId="3" xfId="0" applyAlignment="1" applyBorder="1" applyFont="1" applyNumberFormat="1">
      <alignment readingOrder="0"/>
    </xf>
    <xf borderId="1" fillId="7" fontId="3" numFmtId="164" xfId="0" applyAlignment="1" applyBorder="1" applyFill="1" applyFont="1" applyNumberFormat="1">
      <alignment readingOrder="0"/>
    </xf>
    <xf borderId="11" fillId="0" fontId="21" numFmtId="0" xfId="0" applyAlignment="1" applyBorder="1" applyFont="1">
      <alignment horizontal="right" readingOrder="0" vertical="bottom"/>
    </xf>
    <xf borderId="1" fillId="9" fontId="3" numFmtId="3" xfId="0" applyBorder="1" applyFill="1" applyFont="1" applyNumberFormat="1"/>
    <xf borderId="1" fillId="15" fontId="22" numFmtId="166" xfId="0" applyBorder="1" applyFill="1" applyFont="1" applyNumberFormat="1"/>
    <xf borderId="0" fillId="0" fontId="23" numFmtId="0" xfId="0" applyAlignment="1" applyFont="1">
      <alignment readingOrder="0"/>
    </xf>
    <xf borderId="0" fillId="0" fontId="3" numFmtId="9" xfId="0" applyAlignment="1" applyFont="1" applyNumberFormat="1">
      <alignment readingOrder="0"/>
    </xf>
    <xf borderId="0" fillId="0" fontId="3" numFmtId="3" xfId="0" applyFont="1" applyNumberFormat="1"/>
    <xf borderId="0" fillId="0" fontId="3" numFmtId="0" xfId="0" applyAlignment="1" applyFont="1">
      <alignment horizontal="center" shrinkToFit="0" vertical="center" wrapText="1"/>
    </xf>
    <xf borderId="0" fillId="0" fontId="3" numFmtId="3" xfId="0" applyAlignment="1" applyFont="1" applyNumberFormat="1">
      <alignment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readingOrder="0" shrinkToFit="0" vertical="center" wrapText="1"/>
    </xf>
    <xf borderId="1" fillId="0" fontId="24" numFmtId="3" xfId="0" applyBorder="1" applyFont="1" applyNumberFormat="1"/>
    <xf borderId="1" fillId="0" fontId="4" numFmtId="3" xfId="0" applyAlignment="1" applyBorder="1" applyFont="1" applyNumberFormat="1">
      <alignment readingOrder="0"/>
    </xf>
    <xf borderId="1" fillId="2" fontId="25" numFmtId="0" xfId="0" applyAlignment="1" applyBorder="1" applyFill="1" applyFont="1">
      <alignment horizontal="center" shrinkToFit="0" vertical="center" wrapText="1"/>
    </xf>
    <xf borderId="1" fillId="7" fontId="3" numFmtId="3" xfId="0" applyAlignment="1" applyBorder="1" applyFill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3" xfId="0" applyAlignment="1" applyFont="1" applyNumberFormat="1">
      <alignment horizontal="right" readingOrder="0"/>
    </xf>
    <xf borderId="0" fillId="0" fontId="4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1" fillId="0" fontId="4" numFmtId="1" xfId="0" applyBorder="1" applyFont="1" applyNumberFormat="1"/>
    <xf borderId="0" fillId="0" fontId="4" numFmtId="1" xfId="0" applyFont="1" applyNumberFormat="1"/>
    <xf borderId="1" fillId="2" fontId="3" numFmtId="0" xfId="0" applyAlignment="1" applyBorder="1" applyFill="1" applyFont="1">
      <alignment horizontal="left" readingOrder="0"/>
    </xf>
    <xf borderId="1" fillId="7" fontId="3" numFmtId="4" xfId="0" applyAlignment="1" applyBorder="1" applyFill="1" applyFont="1" applyNumberFormat="1">
      <alignment horizontal="left" readingOrder="0"/>
    </xf>
    <xf borderId="1" fillId="7" fontId="3" numFmtId="3" xfId="0" applyAlignment="1" applyBorder="1" applyFill="1" applyFont="1" applyNumberFormat="1">
      <alignment horizontal="left" readingOrder="0"/>
    </xf>
    <xf borderId="0" fillId="0" fontId="3" numFmtId="0" xfId="0" applyAlignment="1" applyFont="1">
      <alignment horizontal="left"/>
    </xf>
    <xf borderId="1" fillId="0" fontId="15" numFmtId="3" xfId="0" applyAlignment="1" applyBorder="1" applyFont="1" applyNumberFormat="1">
      <alignment readingOrder="0"/>
    </xf>
    <xf borderId="0" fillId="0" fontId="3" numFmtId="169" xfId="0" applyFont="1" applyNumberFormat="1"/>
    <xf borderId="0" fillId="0" fontId="3" numFmtId="169" xfId="0" applyAlignment="1" applyFont="1" applyNumberFormat="1">
      <alignment shrinkToFit="0" vertical="center" wrapText="1"/>
    </xf>
    <xf borderId="1" fillId="2" fontId="25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/>
    </xf>
    <xf borderId="1" fillId="0" fontId="4" numFmtId="1" xfId="0" applyAlignment="1" applyBorder="1" applyFont="1" applyNumberFormat="1">
      <alignment readingOrder="0"/>
    </xf>
    <xf borderId="3" fillId="7" fontId="3" numFmtId="169" xfId="0" applyAlignment="1" applyBorder="1" applyFill="1" applyFont="1" applyNumberFormat="1">
      <alignment readingOrder="0"/>
    </xf>
    <xf borderId="3" fillId="0" fontId="3" numFmtId="169" xfId="0" applyAlignment="1" applyBorder="1" applyFont="1" applyNumberFormat="1">
      <alignment readingOrder="0"/>
    </xf>
    <xf borderId="0" fillId="0" fontId="3" numFmtId="2" xfId="0" applyAlignment="1" applyFont="1" applyNumberFormat="1">
      <alignment readingOrder="0"/>
    </xf>
    <xf borderId="1" fillId="0" fontId="21" numFmtId="0" xfId="0" applyAlignment="1" applyBorder="1" applyFont="1">
      <alignment horizontal="right" readingOrder="0" vertical="bottom"/>
    </xf>
    <xf borderId="1" fillId="0" fontId="21" numFmtId="0" xfId="0" applyAlignment="1" applyBorder="1" applyFont="1">
      <alignment readingOrder="0" vertical="bottom"/>
    </xf>
    <xf borderId="1" fillId="0" fontId="11" numFmtId="0" xfId="0" applyAlignment="1" applyBorder="1" applyFont="1">
      <alignment readingOrder="0" shrinkToFit="0" vertical="bottom" wrapText="0"/>
    </xf>
    <xf borderId="1" fillId="0" fontId="11" numFmtId="2" xfId="0" applyAlignment="1" applyBorder="1" applyFont="1" applyNumberFormat="1">
      <alignment readingOrder="0" shrinkToFit="0" vertical="bottom" wrapText="0"/>
    </xf>
    <xf borderId="1" fillId="0" fontId="21" numFmtId="4" xfId="0" applyAlignment="1" applyBorder="1" applyFont="1" applyNumberFormat="1">
      <alignment horizontal="right" readingOrder="0" vertical="bottom"/>
    </xf>
    <xf borderId="0" fillId="0" fontId="26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readingOrder="0" shrinkToFit="0" vertical="bottom" wrapText="0"/>
    </xf>
    <xf borderId="2" fillId="2" fontId="3" numFmtId="0" xfId="0" applyAlignment="1" applyBorder="1" applyFill="1" applyFont="1">
      <alignment readingOrder="0"/>
    </xf>
    <xf borderId="2" fillId="7" fontId="3" numFmtId="0" xfId="0" applyAlignment="1" applyBorder="1" applyFill="1" applyFont="1">
      <alignment horizontal="left" readingOrder="0"/>
    </xf>
    <xf borderId="2" fillId="7" fontId="3" numFmtId="0" xfId="0" applyAlignment="1" applyBorder="1" applyFill="1" applyFont="1">
      <alignment readingOrder="0"/>
    </xf>
    <xf borderId="11" fillId="0" fontId="3" numFmtId="0" xfId="0" applyAlignment="1" applyBorder="1" applyFont="1">
      <alignment readingOrder="0"/>
    </xf>
    <xf borderId="1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ab860939-a4c5-452d-8c64-c410b1ca62d0}">
    <Anchor>
      <Comment id="{60a21c8b-f6f3-4bb7-9041-a4a9c608d0cd}"/>
    </Anchor>
    <History>
      <Event time="2026-07-21T09:33:44.00" id="{a454a95d-710b-433b-bb12-78bd5a46c68e}">
        <Attribution userId="placeholder@email.com" userName="Vincent Richard" userProvider="google-sheets"/>
        <Anchor>
          <Comment id="{60a21c8b-f6f3-4bb7-9041-a4a9c608d0cd}"/>
        </Anchor>
        <Create/>
      </Event>
      <Event time="2026-07-21T09:33:44.00" id="{8d772351-51a2-4e97-9a9a-fcf5f73586aa}">
        <Attribution userId="placeholder@email.com" userName="Vincent Richard" userProvider="google-sheets"/>
        <Anchor>
          <Comment id="{60a21c8b-f6f3-4bb7-9041-a4a9c608d0cd}"/>
        </Anchor>
        <Assign userId="muriel.guiochet@logiclever.com" userName="muriel.guiochet@logiclever.com" userProvider="google-sheets"/>
      </Event>
    </History>
  </Task>
</Tasks>
</file>

<file path=xl/documenttasks/documenttask2.xml><?xml version="1.0" encoding="utf-8"?>
<Tasks xmlns="http://schemas.microsoft.com/office/tasks/2019/documenttasks">
  <Task id="{faad760d-e49d-45c0-9b73-e005a1acf710}">
    <Anchor>
      <Comment id="{106c607d-48da-4019-9449-598a14b74f7f}"/>
    </Anchor>
    <History>
      <Event time="2026-04-30T11:14:37.00" id="{b835f9cc-802b-4fab-8f7a-c729331ba5b6}">
        <Attribution userId="placeholder@email.com" userName="Amaury MOULIN" userProvider="google-sheets"/>
        <Anchor>
          <Comment id="{106c607d-48da-4019-9449-598a14b74f7f}"/>
        </Anchor>
        <Create/>
      </Event>
      <Event time="2026-04-30T11:14:37.00" id="{01664d0b-328a-4d22-a6c6-fbc4e58d3f77}">
        <Attribution userId="placeholder@email.com" userName="Amaury MOULIN" userProvider="google-sheets"/>
        <Anchor>
          <Comment id="{106c607d-48da-4019-9449-598a14b74f7f}"/>
        </Anchor>
        <Assign userId="muriel.guiochet@logiclever.com" userName="muriel.guiochet@logiclever.com" userProvider="google-sheets"/>
      </Event>
    </History>
  </Task>
</Tasks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>
  <Task id="{27643082-e5e1-4162-b60e-68ec8e10a443}">
    <Anchor>
      <Comment id="{97e8720c-9fd6-4ed8-90a3-32021f8e3330}"/>
    </Anchor>
    <History>
      <Event time="2026-04-23T08:12:04.00" id="{91596b86-668f-42fc-87c2-8214cb63f829}">
        <Attribution userId="placeholder@email.com" userName="Muriel GUIOCHET" userProvider="google-sheets"/>
        <Anchor>
          <Comment id="{97e8720c-9fd6-4ed8-90a3-32021f8e3330}"/>
        </Anchor>
        <Create/>
      </Event>
      <Event time="2026-04-23T08:12:04.00" id="{e41a975d-9259-45e4-a65c-b4a501328c35}">
        <Attribution userId="placeholder@email.com" userName="Muriel GUIOCHET" userProvider="google-sheets"/>
        <Anchor>
          <Comment id="{97e8720c-9fd6-4ed8-90a3-32021f8e3330}"/>
        </Anchor>
        <Assign userId="virgile.grammont@logiclever.com" userName="virgile.grammont@logiclever.com" userProvider="google-sheets"/>
      </Event>
    </History>
  </Task>
  <Task id="{f7156772-2ad9-43bc-945f-b3ceec93ea72}">
    <Anchor>
      <Comment id="{14634796-a805-4324-a92d-68255671260f}"/>
    </Anchor>
    <History>
      <Event time="2026-04-23T08:11:53.00" id="{2cd1c026-485b-422e-9963-1d905791be0b}">
        <Attribution userId="placeholder@email.com" userName="Muriel GUIOCHET" userProvider="google-sheets"/>
        <Anchor>
          <Comment id="{14634796-a805-4324-a92d-68255671260f}"/>
        </Anchor>
        <Create/>
      </Event>
      <Event time="2026-04-23T08:11:53.00" id="{43cf1e4e-9ffe-4620-b1bd-4364d2dabfb3}">
        <Attribution userId="placeholder@email.com" userName="Muriel GUIOCHET" userProvider="google-sheets"/>
        <Anchor>
          <Comment id="{14634796-a805-4324-a92d-68255671260f}"/>
        </Anchor>
        <Assign userId="mostafa.mahfouz@logiclever.com" userName="mostafa.mahfouz@logiclever.com" userProvider="google-sheets"/>
      </Event>
    </History>
  </Task>
  <Task id="{16f333bc-a8b6-45bc-8311-9187e803daf6}">
    <Anchor>
      <Comment id="{b4a4894b-400f-436b-8af1-14388ffe2d22}"/>
    </Anchor>
    <History>
      <Event time="2026-04-23T08:10:31.00" id="{b6d71c18-8273-4be7-b332-04b68a63f8fa}">
        <Attribution userId="placeholder@email.com" userName="Muriel GUIOCHET" userProvider="google-sheets"/>
        <Anchor>
          <Comment id="{b4a4894b-400f-436b-8af1-14388ffe2d22}"/>
        </Anchor>
        <Create/>
      </Event>
      <Event time="2026-04-23T08:10:31.00" id="{4e7c67a5-8854-4720-af26-13277d0bb9a5}">
        <Attribution userId="placeholder@email.com" userName="Muriel GUIOCHET" userProvider="google-sheets"/>
        <Anchor>
          <Comment id="{b4a4894b-400f-436b-8af1-14388ffe2d22}"/>
        </Anchor>
        <Assign userId="alice.nowicki@logiclever.com" userName="alice.nowicki@logiclever.com" userProvider="google-sheets"/>
      </Event>
    </History>
  </Task>
  <Task id="{5030b67c-c61d-427c-9f7a-04d67ce5611f}">
    <Anchor>
      <Comment id="{32583193-644e-45a4-ac1f-e00db6812786}"/>
    </Anchor>
    <History>
      <Event time="2026-04-23T08:11:37.00" id="{290c0526-5dc9-4b51-a976-59ee31cbf456}">
        <Attribution userId="placeholder@email.com" userName="Muriel GUIOCHET" userProvider="google-sheets"/>
        <Anchor>
          <Comment id="{32583193-644e-45a4-ac1f-e00db6812786}"/>
        </Anchor>
        <Create/>
      </Event>
      <Event time="2026-04-23T08:11:37.00" id="{8144e964-c73e-4ac8-b7c4-8d2a7c08f0a6}">
        <Attribution userId="placeholder@email.com" userName="Muriel GUIOCHET" userProvider="google-sheets"/>
        <Anchor>
          <Comment id="{32583193-644e-45a4-ac1f-e00db6812786}"/>
        </Anchor>
        <Assign userId="laure.buononato@logiclever.com" userName="laure.buononato@logiclever.com" userProvider="google-sheets"/>
      </Event>
    </History>
  </Task>
  <Task id="{4ed76694-d158-4cca-a03d-20af9156b306}">
    <Anchor>
      <Comment id="{f4cbc161-4e49-4775-8519-490feea8e5ed}"/>
    </Anchor>
    <History>
      <Event time="2026-04-23T08:11:14.00" id="{13d5d970-77e9-4a65-a036-106562af7c5f}">
        <Attribution userId="placeholder@email.com" userName="Muriel GUIOCHET" userProvider="google-sheets"/>
        <Anchor>
          <Comment id="{f4cbc161-4e49-4775-8519-490feea8e5ed}"/>
        </Anchor>
        <Create/>
      </Event>
      <Event time="2026-04-23T08:11:14.00" id="{2a09e2ae-45eb-4d56-a3f8-994dcd4fe623}">
        <Attribution userId="placeholder@email.com" userName="Muriel GUIOCHET" userProvider="google-sheets"/>
        <Anchor>
          <Comment id="{f4cbc161-4e49-4775-8519-490feea8e5ed}"/>
        </Anchor>
        <Assign userId="jonathan.fernandes@logiclever.com" userName="jonathan.fernandes@logiclever.com" userProvider="google-sheets"/>
      </Event>
    </History>
  </Task>
  <Task id="{94305e8c-cf48-4ccd-8655-bc916c79e1b4}">
    <Anchor>
      <Comment id="{4cf7a37a-e2a7-41ab-bb79-f12ccf8a7044}"/>
    </Anchor>
    <History>
      <Event time="2026-04-23T08:10:48.00" id="{ed761ac0-9b78-422f-81de-d7367de0334b}">
        <Attribution userId="placeholder@email.com" userName="Muriel GUIOCHET" userProvider="google-sheets"/>
        <Anchor>
          <Comment id="{4cf7a37a-e2a7-41ab-bb79-f12ccf8a7044}"/>
        </Anchor>
        <Create/>
      </Event>
      <Event time="2026-04-23T08:10:48.00" id="{802c03df-9645-4488-96e6-467bf558e6be}">
        <Attribution userId="placeholder@email.com" userName="Muriel GUIOCHET" userProvider="google-sheets"/>
        <Anchor>
          <Comment id="{4cf7a37a-e2a7-41ab-bb79-f12ccf8a7044}"/>
        </Anchor>
        <Assign userId="arthur.vary@logiclever.com" userName="arthur.vary@logiclever.com" userProvider="google-sheets"/>
      </Event>
    </History>
  </Task>
</Tasks>
</file>

<file path=xl/documenttasks/documenttask6.xml><?xml version="1.0" encoding="utf-8"?>
<Tasks xmlns="http://schemas.microsoft.com/office/tasks/2019/documenttasks">
  <Task id="{3eb0154c-8972-49f0-9655-6d2a67910a99}">
    <Anchor>
      <Comment id="{c6001c38-34af-4b21-af82-36b3d218a81b}"/>
    </Anchor>
    <History>
      <Event time="2026-07-17T08:55:35.00" id="{226fcd53-6d6c-4b6a-8aad-50888ea7786d}">
        <Attribution userId="placeholder@email.com" userName="Muriel GUIOCHET" userProvider="google-sheets"/>
        <Anchor>
          <Comment id="{c6001c38-34af-4b21-af82-36b3d218a81b}"/>
        </Anchor>
        <Create/>
      </Event>
      <Event time="2026-07-17T08:55:35.00" id="{20035d5b-3b0d-4c17-a676-92ef20e13828}">
        <Attribution userId="placeholder@email.com" userName="Muriel GUIOCHET" userProvider="google-sheets"/>
        <Anchor>
          <Comment id="{c6001c38-34af-4b21-af82-36b3d218a81b}"/>
        </Anchor>
        <Assign userId="umair.mumtaz@logiclever.com" userName="umair.mumtaz@logiclever.com" userProvider="google-sheets"/>
      </Event>
    </History>
  </Task>
  <Task id="{3cf0f30c-12a8-4fdb-917d-c1e63841ac6c}">
    <Anchor>
      <Comment id="{d8fcc585-15d7-480d-a20b-ac7f9e2bc5f5}"/>
    </Anchor>
    <History>
      <Event time="2026-07-17T08:53:21.00" id="{093761ab-4807-4143-aaf8-e1c82f337aef}">
        <Attribution userId="placeholder@email.com" userName="Muriel GUIOCHET" userProvider="google-sheets"/>
        <Anchor>
          <Comment id="{d8fcc585-15d7-480d-a20b-ac7f9e2bc5f5}"/>
        </Anchor>
        <Create/>
      </Event>
      <Event time="2026-07-17T08:53:21.00" id="{63098b75-38c9-48ba-92e6-f12dd4e365d7}">
        <Attribution userId="placeholder@email.com" userName="Muriel GUIOCHET" userProvider="google-sheets"/>
        <Anchor>
          <Comment id="{d8fcc585-15d7-480d-a20b-ac7f9e2bc5f5}"/>
        </Anchor>
        <Assign userId="jonathan.fernandes@logiclever.com" userName="jonathan.fernandes@logiclever.com" userProvider="google-sheets"/>
      </Event>
    </History>
  </Task>
  <Task id="{70ce140a-4422-432c-bcec-7fbe2235d0d5}">
    <Anchor>
      <Comment id="{3509ee7e-621d-4b1e-a672-279409bacdec}"/>
    </Anchor>
    <History>
      <Event time="2026-07-17T08:55:23.00" id="{86c8a63d-18e7-4937-a5bf-4a665ef9bd0e}">
        <Attribution userId="placeholder@email.com" userName="Muriel GUIOCHET" userProvider="google-sheets"/>
        <Anchor>
          <Comment id="{3509ee7e-621d-4b1e-a672-279409bacdec}"/>
        </Anchor>
        <Create/>
      </Event>
      <Event time="2026-07-17T08:55:23.00" id="{454bd89a-c1a6-4982-bc02-1977f204be48}">
        <Attribution userId="placeholder@email.com" userName="Muriel GUIOCHET" userProvider="google-sheets"/>
        <Anchor>
          <Comment id="{3509ee7e-621d-4b1e-a672-279409bacdec}"/>
        </Anchor>
        <Assign userId="naim.ouaraz@logiclever.com" userName="naim.ouaraz@logiclever.com" userProvider="google-sheets"/>
      </Event>
    </History>
  </Task>
  <Task id="{1cdb5372-aa71-4751-ba2a-8e5895998a28}">
    <Anchor>
      <Comment id="{03eaa043-06e7-41dd-9f14-5db452141d7b}"/>
    </Anchor>
    <History>
      <Event time="2026-07-17T08:53:06.00" id="{02e6bc50-d82e-4eae-a707-adc55ec723f2}">
        <Attribution userId="placeholder@email.com" userName="Muriel GUIOCHET" userProvider="google-sheets"/>
        <Anchor>
          <Comment id="{03eaa043-06e7-41dd-9f14-5db452141d7b}"/>
        </Anchor>
        <Create/>
      </Event>
      <Event time="2026-07-17T08:53:06.00" id="{72efe6bc-3d51-477d-9c84-eca5b10daa3d}">
        <Attribution userId="placeholder@email.com" userName="Muriel GUIOCHET" userProvider="google-sheets"/>
        <Anchor>
          <Comment id="{03eaa043-06e7-41dd-9f14-5db452141d7b}"/>
        </Anchor>
        <Assign userId="chloe.menigoz@logiclever.com" userName="chloe.menigoz@logiclever.com" userProvider="google-sheets"/>
      </Event>
    </History>
  </Task>
  <Task id="{f8de9147-1177-4a84-8372-a2f07583209c}">
    <Anchor>
      <Comment id="{1fb08004-5dcb-452a-9097-f58e19b069bb}"/>
    </Anchor>
    <History>
      <Event time="2026-07-17T08:55:08.00" id="{97844695-ab81-495e-be45-3a88cf9f0973}">
        <Attribution userId="placeholder@email.com" userName="Muriel GUIOCHET" userProvider="google-sheets"/>
        <Anchor>
          <Comment id="{1fb08004-5dcb-452a-9097-f58e19b069bb}"/>
        </Anchor>
        <Create/>
      </Event>
      <Event time="2026-07-17T08:55:08.00" id="{27118a39-4054-4687-8c37-5a0b125040fd}">
        <Attribution userId="placeholder@email.com" userName="Muriel GUIOCHET" userProvider="google-sheets"/>
        <Anchor>
          <Comment id="{1fb08004-5dcb-452a-9097-f58e19b069bb}"/>
        </Anchor>
        <Assign userId="melina.tomassi@logiclever.com" userName="melina.tomassi@logiclever.com" userProvider="google-sheets"/>
      </Event>
    </History>
  </Task>
  <Task id="{efb4bfba-3993-4d65-b390-1e160d89f474}">
    <Anchor>
      <Comment id="{e04977eb-dd12-4780-94db-8efccacde6ae}"/>
    </Anchor>
    <History>
      <Event time="2026-07-17T08:54:09.00" id="{1c53c696-b16f-4368-9b36-0d489bde0b9a}">
        <Attribution userId="placeholder@email.com" userName="Muriel GUIOCHET" userProvider="google-sheets"/>
        <Anchor>
          <Comment id="{e04977eb-dd12-4780-94db-8efccacde6ae}"/>
        </Anchor>
        <Create/>
      </Event>
      <Event time="2026-07-17T08:54:09.00" id="{77d40c4b-dcc8-4754-a289-aabf689f5b86}">
        <Attribution userId="placeholder@email.com" userName="Muriel GUIOCHET" userProvider="google-sheets"/>
        <Anchor>
          <Comment id="{e04977eb-dd12-4780-94db-8efccacde6ae}"/>
        </Anchor>
        <Assign userId="mostafa.mahfouz@logiclever.com" userName="mostafa.mahfouz@logiclever.com" userProvider="google-sheets"/>
      </Event>
    </History>
  </Task>
  <Task id="{e89a9876-71ce-476b-9f6f-4c0ab10edf03}">
    <Anchor>
      <Comment id="{6e8e946e-aaf6-4e6e-be0e-12b90bc215c4}"/>
    </Anchor>
    <History>
      <Event time="2026-07-17T08:53:48.00" id="{c881815d-fc63-4c8b-8b02-00606a75da8d}">
        <Attribution userId="placeholder@email.com" userName="Muriel GUIOCHET" userProvider="google-sheets"/>
        <Anchor>
          <Comment id="{6e8e946e-aaf6-4e6e-be0e-12b90bc215c4}"/>
        </Anchor>
        <Create/>
      </Event>
      <Event time="2026-07-17T08:53:48.00" id="{3f2474da-398a-4427-99bd-b09ff0545490}">
        <Attribution userId="placeholder@email.com" userName="Muriel GUIOCHET" userProvider="google-sheets"/>
        <Anchor>
          <Comment id="{6e8e946e-aaf6-4e6e-be0e-12b90bc215c4}"/>
        </Anchor>
        <Assign userId="kamelia.sakete@logiclever.com" userName="kamelia.sakete@logiclever.com" userProvider="google-sheets"/>
      </Event>
    </History>
  </Task>
  <Task id="{7a2268bf-cd5d-44c1-9806-2e952075a8dc}">
    <Anchor>
      <Comment id="{d15d2785-bfec-4ec6-95fd-a9677cc4b202}"/>
    </Anchor>
    <History>
      <Event time="2026-07-17T08:55:49.00" id="{2f98adb0-fb2a-46f8-bf97-1f8da725695c}">
        <Attribution userId="placeholder@email.com" userName="Muriel GUIOCHET" userProvider="google-sheets"/>
        <Anchor>
          <Comment id="{d15d2785-bfec-4ec6-95fd-a9677cc4b202}"/>
        </Anchor>
        <Create/>
      </Event>
      <Event time="2026-07-17T08:55:49.00" id="{c7c45a74-179d-416f-b7b8-33d1360e582d}">
        <Attribution userId="placeholder@email.com" userName="Muriel GUIOCHET" userProvider="google-sheets"/>
        <Anchor>
          <Comment id="{d15d2785-bfec-4ec6-95fd-a9677cc4b202}"/>
        </Anchor>
        <Assign userId="virgile.grammont@logiclever.com" userName="virgile.grammont@logiclever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loe.menigoz@logiclever.com" id="{e9371056-9ffb-4606-9088-6ba04f195c52}" userId="chloe.menigoz@logiclever.com" providerId="google-sheets"/>
  <x18tc:person displayName="umair.mumtaz@logiclever.com" id="{3cea6f13-4ee3-498f-bd44-b8cdc3db198e}" userId="umair.mumtaz@logiclever.com" providerId="google-sheets"/>
  <x18tc:person displayName="Muriel GUIOCHET" id="{1c89c0a7-639d-4ab3-94c8-6ad8feffe729}" providerId="google-sheets"/>
  <x18tc:person displayName="laure.buononato@logiclever.com" id="{d04fc008-3c01-4aa3-8577-1db90e46f852}" userId="laure.buononato@logiclever.com" providerId="google-sheets"/>
  <x18tc:person displayName="jonathan.fernandes@logiclever.com" id="{1199fe77-24f8-4128-8b3e-3ef1b32f1443}" userId="jonathan.fernandes@logiclever.com" providerId="google-sheets"/>
  <x18tc:person displayName="arthur.vary@logiclever.com" id="{53c62ed6-cc73-4102-9e37-85c8797c71f5}" userId="arthur.vary@logiclever.com" providerId="google-sheets"/>
  <x18tc:person displayName="Vincent Richard" id="{5a8d42d3-0389-4528-916a-c209a6a68877}" providerId="google-sheets"/>
  <x18tc:person displayName="alexandre.doz@logiclever.com" id="{1f4208f2-2028-414b-aa38-65094c5d5717}" userId="alexandre.doz@logiclever.com" providerId="google-sheets"/>
  <x18tc:person displayName="kamelia.sakete@logiclever.com" id="{798dd9ce-4664-40dc-96fd-5312cfb4a16b}" userId="kamelia.sakete@logiclever.com" providerId="google-sheets"/>
  <x18tc:person displayName="virgile.grammont@logiclever.com" id="{1ee446ab-71c9-4480-ac97-932ae209a867}" userId="virgile.grammont@logiclever.com" providerId="google-sheets"/>
  <x18tc:person displayName="mostafa.mahfouz@logiclever.com" id="{8780c81e-3bdc-48e5-8ae7-88280afaee03}" userId="mostafa.mahfouz@logiclever.com" providerId="google-sheets"/>
  <x18tc:person displayName="melina.tomassi@logiclever.com" id="{3bb91656-f49e-452c-ab8c-2a07ef4703c6}" userId="melina.tomassi@logiclever.com" providerId="google-sheets"/>
  <x18tc:person displayName="muriel.guiochet@logiclever.com" id="{2a6febfb-d560-4315-a68d-0c9f18cc046d}" userId="muriel.guiochet@logiclever.com" providerId="google-sheets"/>
  <x18tc:person displayName="Amaury MOULIN" id="{2bdf1e9a-8772-41cc-93b6-bfc1ee634522}" providerId="google-sheets"/>
  <x18tc:person displayName="naim.ouaraz@logiclever.com" id="{9a096a95-35f4-4ca7-9271-bf4810b59daf}" userId="naim.ouaraz@logiclever.com" providerId="google-sheets"/>
  <x18tc:person displayName="alice.nowicki@logiclever.com" id="{67425eee-6934-4a34-9acb-29514b2a9cb5}" userId="alice.nowicki@logiclever.com" providerId="google-sheets"/>
  <x18tc:person displayName="Alice NOWICKI" id="{c96796a1-30fe-4ef2-b56f-b30f8d2e465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5" dT="2026-07-21T09:33:44.00" personId="{5a8d42d3-0389-4528-916a-c209a6a68877}" id="{60a21c8b-f6f3-4bb7-9041-a4a9c608d0cd}" done="1">
    <x18tc:text xml:space="preserve">Hello @muriel.guiochet@logiclever.com je propose une correction de la formule
il faut modifier la colonnne a récupérer de 5 en 6 comme sur ma cellule ;)
bonne journée
Attribué à muriel.guiochet@logiclever.com</x18tc:text>
    <x18tc:mentions>
      <x18tc:mention mentionpersonId="{2a6febfb-d560-4315-a68d-0c9f18cc046d}" mentionId="{e98e35cd-1a72-4a89-8477-88968099781e}" startIndex="6" length="31"/>
    </x18tc:mentions>
  </x18tc:threadedComment>
  <x18tc:threadedComment ref="D35" dT="2026-07-21T11:37:22.00" personId="{1c89c0a7-639d-4ab3-94c8-6ad8feffe729}" id="{bf244488-fcab-4ef5-8ac4-ff2cad25d9dd}" parentId="{60a21c8b-f6f3-4bb7-9041-a4a9c608d0cd}">
    <x18tc:text xml:space="preserve">damn ! je corrige de suite, merci beaucoup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88" dT="2026-04-30T11:14:37.00" personId="{2bdf1e9a-8772-41cc-93b6-bfc1ee634522}" id="{106c607d-48da-4019-9449-598a14b74f7f}" done="0">
    <x18tc:text xml:space="preserve">@muriel.guiochet@logiclever.com 
juste pour evoir en tete qu'on a pas appliqué de RFA sur Laure en 2024 et 2025. 
Cette prime est calculé sur une RFA. 
Régul dès maintenant ?
Attribué à muriel.guiochet@logiclever.com</x18tc:text>
    <x18tc:mentions>
      <x18tc:mention mentionpersonId="{2a6febfb-d560-4315-a68d-0c9f18cc046d}" mentionId="{6ca44a5e-ae96-464f-9554-1b0f71cc7cb5}" startIndex="0" length="31"/>
    </x18tc:mentions>
  </x18tc:threadedComment>
  <x18tc:threadedComment ref="H288" dT="2026-04-30T11:58:54.00" personId="{1c89c0a7-639d-4ab3-94c8-6ad8feffe729}" id="{b12a153e-b29f-4a53-86f9-2463e602c249}" parentId="{106c607d-48da-4019-9449-598a14b74f7f}">
    <x18tc:text xml:space="preserve">Hello, nouveau contrat avec le client car passage a temps partiel, je pense qu'on ne pourra pas échapper à la RFA cette année :-(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8" dT="2026-07-15T13:58:22.00" personId="{1c89c0a7-639d-4ab3-94c8-6ad8feffe729}" id="{999db0ea-21d1-490f-8af5-8db9f655a3e0}" done="1">
    <x18tc:text xml:space="preserve">Bonjour Sanaa, ce montant est du à une correction de la prime sur Kawthar sur le S1 (soustraction de la RFA). Désolée !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6" dT="2026-04-27T09:32:04.00" personId="{1c89c0a7-639d-4ab3-94c8-6ad8feffe729}" id="{744d9f07-757a-4f97-9a61-f912629a4f0a}" done="0">
    <x18tc:text xml:space="preserve">@alexandre.doz@logiclever.com</x18tc:text>
    <x18tc:mentions>
      <x18tc:mention mentionpersonId="{1f4208f2-2028-414b-aa38-65094c5d5717}" mentionId="{c8e09338-d6ae-4015-93c3-68c79895b697}" startIndex="0" length="29"/>
    </x18tc:mentions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4" dT="2026-04-23T08:12:04.00" personId="{1c89c0a7-639d-4ab3-94c8-6ad8feffe729}" id="{97e8720c-9fd6-4ed8-90a3-32021f8e3330}" done="1">
    <x18tc:text xml:space="preserve">@virgile.grammont@logiclever.com Merci d'indiquer dès aujourd'hui si tu souhaites la prime en AGA ou en salaire.
Attribué à virgile.grammont@logiclever.com</x18tc:text>
    <x18tc:mentions>
      <x18tc:mention mentionpersonId="{1ee446ab-71c9-4480-ac97-932ae209a867}" mentionId="{4e9e6e94-18ce-4734-a3c3-026c743f3889}" startIndex="0" length="32"/>
    </x18tc:mentions>
  </x18tc:threadedComment>
  <x18tc:threadedComment ref="A20" dT="2026-04-23T08:11:53.00" personId="{1c89c0a7-639d-4ab3-94c8-6ad8feffe729}" id="{14634796-a805-4324-a92d-68255671260f}" done="1">
    <x18tc:text xml:space="preserve">@mostafa.mahfouz@logiclever.com Merci d'indiquer dès aujourd'hui si tu souhaites la prime en AGA ou en salaire.
Attribué à mostafa.mahfouz@logiclever.com</x18tc:text>
    <x18tc:mentions>
      <x18tc:mention mentionpersonId="{8780c81e-3bdc-48e5-8ae7-88280afaee03}" mentionId="{130b5f82-bbea-4550-829e-5dda7df25e17}" startIndex="0" length="31"/>
    </x18tc:mentions>
  </x18tc:threadedComment>
  <x18tc:threadedComment ref="A5" dT="2026-04-23T08:10:31.00" personId="{1c89c0a7-639d-4ab3-94c8-6ad8feffe729}" id="{b4a4894b-400f-436b-8af1-14388ffe2d22}" done="1">
    <x18tc:text xml:space="preserve">@alice.nowicki@logiclever.com Merci d'indiquer dès aujourd'hui si tu souhaites la prime en AGA ou en salaire.
Attribué à alice.nowicki@logiclever.com</x18tc:text>
    <x18tc:mentions>
      <x18tc:mention mentionpersonId="{67425eee-6934-4a34-9acb-29514b2a9cb5}" mentionId="{9df1e7b0-d6c8-4db8-9eb9-464d7524fa13}" startIndex="0" length="29"/>
    </x18tc:mentions>
  </x18tc:threadedComment>
  <x18tc:threadedComment ref="A5" dT="2026-04-23T08:28:59.00" personId="{c96796a1-30fe-4ef2-b56f-b30f8d2e4652}" id="{3bb73693-568c-41ed-9f5a-c755bc6581dc}" parentId="{b4a4894b-400f-436b-8af1-14388ffe2d22}">
    <x18tc:text xml:space="preserve">Done</x18tc:text>
  </x18tc:threadedComment>
  <x18tc:threadedComment ref="A17" dT="2026-04-23T08:11:37.00" personId="{1c89c0a7-639d-4ab3-94c8-6ad8feffe729}" id="{32583193-644e-45a4-ac1f-e00db6812786}" done="1">
    <x18tc:text xml:space="preserve">@laure.buononato@logiclever.com Merci d'indiquer dès aujourd'hui si tu souhaites la prime en AGA ou en salaire.
Attribué à laure.buononato@logiclever.com</x18tc:text>
    <x18tc:mentions>
      <x18tc:mention mentionpersonId="{d04fc008-3c01-4aa3-8577-1db90e46f852}" mentionId="{2fb64883-5802-4b48-9729-14bbf6bbce29}" startIndex="0" length="31"/>
    </x18tc:mentions>
  </x18tc:threadedComment>
  <x18tc:threadedComment ref="B11" dT="2026-07-15T13:59:49.00" personId="{1c89c0a7-639d-4ab3-94c8-6ad8feffe729}" id="{1f26e720-d6af-49cd-82d9-3e3ed2f26016}" done="0">
    <x18tc:text xml:space="preserve">Bonjour Gabriel, ce montant à été corrigé suite à la soustraction de la RFA sur le S1. Désolée !</x18tc:text>
  </x18tc:threadedComment>
  <x18tc:threadedComment ref="A15" dT="2026-04-23T08:11:14.00" personId="{1c89c0a7-639d-4ab3-94c8-6ad8feffe729}" id="{f4cbc161-4e49-4775-8519-490feea8e5ed}" done="1">
    <x18tc:text xml:space="preserve">@jonathan.fernandes@logiclever.com Merci d'indiquer dès aujourd'hui si tu souhaites la prime en AGA ou en salaire.
Attribué à jonathan.fernandes@logiclever.com</x18tc:text>
    <x18tc:mentions>
      <x18tc:mention mentionpersonId="{1199fe77-24f8-4128-8b3e-3ef1b32f1443}" mentionId="{981bcc86-015b-4c9e-ac10-4dc7662c1c27}" startIndex="0" length="34"/>
    </x18tc:mentions>
  </x18tc:threadedComment>
  <x18tc:threadedComment ref="A7" dT="2026-04-23T08:10:48.00" personId="{1c89c0a7-639d-4ab3-94c8-6ad8feffe729}" id="{4cf7a37a-e2a7-41ab-bb79-f12ccf8a7044}" done="1">
    <x18tc:text xml:space="preserve">@arthur.vary@logiclever.com Merci d'indiquer dès aujourd'hui si tu souhaites la prime en AGA ou en salaire.
Attribué à arthur.vary@logiclever.com</x18tc:text>
    <x18tc:mentions>
      <x18tc:mention mentionpersonId="{53c62ed6-cc73-4102-9e37-85c8797c71f5}" mentionId="{76501308-4f6b-41de-8f32-0de50c3e440f}" startIndex="0" length="27"/>
    </x18tc:mentions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0" dT="2026-07-17T08:55:35.00" personId="{1c89c0a7-639d-4ab3-94c8-6ad8feffe729}" id="{c6001c38-34af-4b21-af82-36b3d218a81b}" done="1">
    <x18tc:text xml:space="preserve">Bonjour @umair.mumtaz@logiclever.com n'oublie pas d'indiquer ce que tu veux faire de ta prime stp
Attribué à umair.mumtaz@logiclever.com</x18tc:text>
    <x18tc:mentions>
      <x18tc:mention mentionpersonId="{3cea6f13-4ee3-498f-bd44-b8cdc3db198e}" mentionId="{ff422cc5-985e-42b2-a7b5-17e2079b2a94}" startIndex="8" length="28"/>
    </x18tc:mentions>
  </x18tc:threadedComment>
  <x18tc:threadedComment ref="A12" dT="2026-07-17T08:53:21.00" personId="{1c89c0a7-639d-4ab3-94c8-6ad8feffe729}" id="{d8fcc585-15d7-480d-a20b-ac7f9e2bc5f5}" done="1">
    <x18tc:text xml:space="preserve">Bonjour @jonathan.fernandes@logiclever.com , n'oublie pas d'indiquer ce que tu veux faire de ta prime stp
Attribué à jonathan.fernandes@logiclever.com</x18tc:text>
    <x18tc:mentions>
      <x18tc:mention mentionpersonId="{1199fe77-24f8-4128-8b3e-3ef1b32f1443}" mentionId="{1e4be741-722d-47d4-a4e0-032b58104fb6}" startIndex="8" length="34"/>
    </x18tc:mentions>
  </x18tc:threadedComment>
  <x18tc:threadedComment ref="A18" dT="2026-07-17T08:55:23.00" personId="{1c89c0a7-639d-4ab3-94c8-6ad8feffe729}" id="{3509ee7e-621d-4b1e-a672-279409bacdec}" done="1">
    <x18tc:text xml:space="preserve">Bonjour @naim.ouaraz@logiclever.com , n'oublie pas d'indiquer ce que tu veux faire de ta prime stp
Attribué à naim.ouaraz@logiclever.com</x18tc:text>
    <x18tc:mentions>
      <x18tc:mention mentionpersonId="{9a096a95-35f4-4ca7-9271-bf4810b59daf}" mentionId="{0c7b2674-92ea-423a-a2f2-809dafb2d408}" startIndex="8" length="27"/>
    </x18tc:mentions>
  </x18tc:threadedComment>
  <x18tc:threadedComment ref="A6" dT="2026-07-17T08:53:06.00" personId="{1c89c0a7-639d-4ab3-94c8-6ad8feffe729}" id="{03eaa043-06e7-41dd-9f14-5db452141d7b}" done="1">
    <x18tc:text xml:space="preserve">Bonjour @chloe.menigoz@logiclever.com , n'oublie pas d'indiquer ce que tu veux faire de ta prime stp
Attribué à chloe.menigoz@logiclever.com</x18tc:text>
    <x18tc:mentions>
      <x18tc:mention mentionpersonId="{e9371056-9ffb-4606-9088-6ba04f195c52}" mentionId="{dd6b1cc8-25b4-43ce-8422-9124a015f4a8}" startIndex="8" length="29"/>
    </x18tc:mentions>
  </x18tc:threadedComment>
  <x18tc:threadedComment ref="A17" dT="2026-07-17T08:55:08.00" personId="{1c89c0a7-639d-4ab3-94c8-6ad8feffe729}" id="{1fb08004-5dcb-452a-9097-f58e19b069bb}" done="1">
    <x18tc:text xml:space="preserve">Bonjour @melina.tomassi@logiclever.com , n'oublie pas d'indiquer ce que tu veux faire de ta prime stp
Attribué à melina.tomassi@logiclever.com</x18tc:text>
    <x18tc:mentions>
      <x18tc:mention mentionpersonId="{3bb91656-f49e-452c-ab8c-2a07ef4703c6}" mentionId="{e3d3ea19-7b00-43a7-9254-03d3dce991aa}" startIndex="8" length="30"/>
    </x18tc:mentions>
  </x18tc:threadedComment>
  <x18tc:threadedComment ref="A17" dT="2026-07-17T09:45:01.00" personId="{1c89c0a7-639d-4ab3-94c8-6ad8feffe729}" id="{3d11690c-1754-4288-b855-538572874738}" parentId="{1fb08004-5dcb-452a-9097-f58e19b069bb}">
    <x18tc:text xml:space="preserve">Marqué comme terminé</x18tc:text>
  </x18tc:threadedComment>
  <x18tc:threadedComment ref="B8" dT="2026-07-15T14:00:05.00" personId="{1c89c0a7-639d-4ab3-94c8-6ad8feffe729}" id="{3d0961f6-4649-4baf-a8c9-7205f13fdf77}" done="0">
    <x18tc:text xml:space="preserve">Bonjour Gabriel, ce montant à été corrigé suite à la soustraction de la RFA sur le S1. Désolée !</x18tc:text>
  </x18tc:threadedComment>
  <x18tc:threadedComment ref="A16" dT="2026-07-17T08:54:09.00" personId="{1c89c0a7-639d-4ab3-94c8-6ad8feffe729}" id="{e04977eb-dd12-4780-94db-8efccacde6ae}" done="1">
    <x18tc:text xml:space="preserve">Bonjour @mostafa.mahfouz@logiclever.com , n'oublie pas d'indiquer ce que tu veux faire de ta prime stp
Attribué à mostafa.mahfouz@logiclever.com</x18tc:text>
    <x18tc:mentions>
      <x18tc:mention mentionpersonId="{8780c81e-3bdc-48e5-8ae7-88280afaee03}" mentionId="{b022efa4-1bb0-4b3e-8e6f-e47a03228a39}" startIndex="8" length="31"/>
    </x18tc:mentions>
  </x18tc:threadedComment>
  <x18tc:threadedComment ref="A13" dT="2026-07-17T08:53:48.00" personId="{1c89c0a7-639d-4ab3-94c8-6ad8feffe729}" id="{6e8e946e-aaf6-4e6e-be0e-12b90bc215c4}" done="1">
    <x18tc:text xml:space="preserve">Bonjour @kamelia.sakete@logiclever.com , n'oublie pas d'indiquer ce que tu veux faire de ta prime stp. Tu peux m'appeler si tu as des questions
Attribué à kamelia.sakete@logiclever.com</x18tc:text>
    <x18tc:mentions>
      <x18tc:mention mentionpersonId="{798dd9ce-4664-40dc-96fd-5312cfb4a16b}" mentionId="{b20f6e7d-a11e-445b-95b7-45f5ad53abf3}" startIndex="8" length="30"/>
    </x18tc:mentions>
  </x18tc:threadedComment>
  <x18tc:threadedComment ref="A21" dT="2026-07-17T08:55:49.00" personId="{1c89c0a7-639d-4ab3-94c8-6ad8feffe729}" id="{d15d2785-bfec-4ec6-95fd-a9677cc4b202}" done="1">
    <x18tc:text xml:space="preserve">Bonjour @virgile.grammont@logiclever.com , n'oublie pas d'indiquer ce que tu veux faire de ta prime stp
Attribué à virgile.grammont@logiclever.com</x18tc:text>
    <x18tc:mentions>
      <x18tc:mention mentionpersonId="{1ee446ab-71c9-4480-ac97-932ae209a867}" mentionId="{4be2dc2c-72f8-4a2f-8712-4cfd7f0d4312}" startIndex="8" length="32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 outlineLevelCol="1"/>
  <cols>
    <col customWidth="1" min="1" max="1" width="19.13"/>
    <col min="2" max="9" width="12.63" outlineLevel="1"/>
    <col customWidth="1" hidden="1" min="13" max="13" width="19.13"/>
  </cols>
  <sheetData>
    <row r="1">
      <c r="A1" s="1" t="s">
        <v>0</v>
      </c>
    </row>
    <row r="2">
      <c r="A2" s="3"/>
      <c r="B2" s="4"/>
      <c r="C2" s="4"/>
      <c r="D2" s="4"/>
      <c r="E2" s="4"/>
      <c r="F2" s="4"/>
      <c r="G2" s="4"/>
      <c r="H2" s="4"/>
      <c r="I2" s="6"/>
      <c r="J2" s="6"/>
    </row>
    <row r="3">
      <c r="A3" s="8" t="s">
        <v>2</v>
      </c>
      <c r="B3" s="4"/>
      <c r="C3" s="4"/>
      <c r="D3" s="4"/>
      <c r="E3" s="4"/>
      <c r="F3" s="4"/>
      <c r="G3" s="4"/>
      <c r="H3" s="4"/>
      <c r="I3" s="6"/>
      <c r="J3" s="6"/>
    </row>
    <row r="4">
      <c r="A4" s="10" t="s">
        <v>3</v>
      </c>
      <c r="B4" s="12" t="s">
        <v>5</v>
      </c>
      <c r="C4" s="14"/>
      <c r="D4" s="12" t="s">
        <v>8</v>
      </c>
      <c r="E4" s="14"/>
      <c r="F4" s="12" t="s">
        <v>9</v>
      </c>
      <c r="G4" s="14"/>
      <c r="H4" s="12" t="s">
        <v>10</v>
      </c>
      <c r="I4" s="14"/>
      <c r="J4" s="16" t="s">
        <v>11</v>
      </c>
      <c r="K4" s="14"/>
    </row>
    <row r="5">
      <c r="A5" s="18"/>
      <c r="B5" s="19" t="s">
        <v>12</v>
      </c>
      <c r="C5" s="23" t="str">
        <f>HYPERLINK("https://drive.google.com/open?id=1jG2WnssbXfPpy5PXQYAraR2E-vZUA_T7ymWXxeFUIhs" , "Bénéfice LL")</f>
        <v>Bénéfice LL</v>
      </c>
      <c r="D5" s="19" t="s">
        <v>12</v>
      </c>
      <c r="E5" s="23" t="str">
        <f>HYPERLINK("https://drive.google.com/open?id=1jMvgM0QVdQctDXGBCk1x_WX0RSF3pQzmD4ZfjTL1usM" , "Bénéfice LL")</f>
        <v>Bénéfice LL</v>
      </c>
      <c r="F5" s="19" t="s">
        <v>12</v>
      </c>
      <c r="G5" s="23" t="str">
        <f>HYPERLINK("https://docs.google.com/spreadsheets/d/1EGxWOQCyfE9qIur-uKavwV3ESGa7BGtdSxpvnM4Nzu0/edit#gid=522824772" , "Bénéfice LL")</f>
        <v>Bénéfice LL</v>
      </c>
      <c r="H5" s="19" t="s">
        <v>12</v>
      </c>
      <c r="I5" s="23" t="str">
        <f>HYPERLINK("https://docs.google.com/spreadsheets/d/1D9lzs32aLilQQZ-3jVFKPa_dpoNGu5nn_RDx7SMvfdU/edit?usp=sharing&amp;ouid=106178672536291372263&amp;rtpof=true&amp;sd=true" , "Bénéfice LL")</f>
        <v>Bénéfice LL</v>
      </c>
      <c r="J5" s="19" t="s">
        <v>12</v>
      </c>
      <c r="K5" s="29" t="s">
        <v>20</v>
      </c>
      <c r="M5" s="19" t="s">
        <v>12</v>
      </c>
    </row>
    <row r="6">
      <c r="A6" s="20" t="s">
        <v>13</v>
      </c>
      <c r="B6" s="36">
        <f>IF(ISNA(VLOOKUP($A6,'Prime Freelance T1 2026'!$A$3:$F$42,5,FALSE)),0,VLOOKUP($A6,'Prime Freelance T1 2026'!$A$3:$F$42,5,FALSE))</f>
        <v>1963</v>
      </c>
      <c r="C6" s="35"/>
      <c r="D6" s="40">
        <f>IF(ISNA(VLOOKUP(A6,'Prime Freelance T2 2026'!$A$3:$H$38,6,FALSE)),0,VLOOKUP(A6,'Prime Freelance T2 2026'!$A$3:$H$38,6,FALSE))</f>
        <v>5761.25</v>
      </c>
      <c r="E6" s="40"/>
      <c r="F6" s="40">
        <f>IF(ISNA(VLOOKUP(A6,'Prime Freelance T3 2026'!$A$3:$E$32,5,FALSE)),0,VLOOKUP(A6,'Prime Freelance T3 2026'!$A$3:$E$32,5,FALSE))</f>
        <v>0</v>
      </c>
      <c r="G6" s="35"/>
      <c r="H6" s="40">
        <f>IF(ISNA(VLOOKUP(A6,'Prime Freelance T4 2026'!$A$4:$F$36,4,FALSE)),0,VLOOKUP(A6,'Prime Freelance T4 2026'!$A$4:$F$36,4,FALSE))</f>
        <v>0</v>
      </c>
      <c r="I6" s="35"/>
      <c r="J6" s="22">
        <f t="shared" ref="J6:K6" si="1">B6+D6+F6+H6</f>
        <v>7724.25</v>
      </c>
      <c r="K6" s="22">
        <f t="shared" si="1"/>
        <v>0</v>
      </c>
      <c r="L6" s="44"/>
      <c r="M6" s="22"/>
    </row>
    <row r="7">
      <c r="A7" s="20" t="s">
        <v>15</v>
      </c>
      <c r="B7" s="47">
        <f>IF(ISNA(VLOOKUP($A7,'Prime Freelance T1 2026'!$A$3:$F$42,5,FALSE)),0,VLOOKUP($A7,'Prime Freelance T1 2026'!$A$3:$F$42,5,FALSE))</f>
        <v>40437.1</v>
      </c>
      <c r="C7" s="35"/>
      <c r="D7" s="40">
        <f>IF(ISNA(VLOOKUP(A7,'Prime Freelance T2 2026'!$A$3:$H$38,6,FALSE)),0,VLOOKUP(A7,'Prime Freelance T2 2026'!$A$3:$H$38,6,FALSE))</f>
        <v>40695.98</v>
      </c>
      <c r="E7" s="40"/>
      <c r="F7" s="40">
        <f>IF(ISNA(VLOOKUP(A7,'Prime Freelance T3 2026'!$A$3:$E$32,5,FALSE)),0,VLOOKUP(A7,'Prime Freelance T3 2026'!$A$3:$E$32,5,FALSE))</f>
        <v>0</v>
      </c>
      <c r="G7" s="35"/>
      <c r="H7" s="40">
        <f>IF(ISNA(VLOOKUP(A7,'Prime Freelance T4 2026'!$A$4:$F$36,4,FALSE)),0,VLOOKUP(A7,'Prime Freelance T4 2026'!$A$4:$F$36,4,FALSE))</f>
        <v>0</v>
      </c>
      <c r="I7" s="35"/>
      <c r="J7" s="22">
        <f t="shared" ref="J7:K7" si="2">B7+D7+F7+H7</f>
        <v>81133.08</v>
      </c>
      <c r="K7" s="22">
        <f t="shared" si="2"/>
        <v>0</v>
      </c>
      <c r="M7" s="22"/>
    </row>
    <row r="8">
      <c r="A8" s="20" t="s">
        <v>17</v>
      </c>
      <c r="B8" s="36">
        <f>IF(ISNA(VLOOKUP($A8,'Prime Freelance T1 2026'!$A$3:$F$42,5,FALSE)),0,VLOOKUP($A8,'Prime Freelance T1 2026'!$A$3:$F$42,5,FALSE))</f>
        <v>13375.3</v>
      </c>
      <c r="C8" s="35"/>
      <c r="D8" s="40">
        <f>IF(ISNA(VLOOKUP(A8,'Prime Freelance T2 2026'!$A$3:$H$38,6,FALSE)),0,VLOOKUP(A8,'Prime Freelance T2 2026'!$A$3:$H$38,6,FALSE))</f>
        <v>11701.75</v>
      </c>
      <c r="E8" s="40"/>
      <c r="F8" s="40">
        <f>IF(ISNA(VLOOKUP(A8,'Prime Freelance T3 2026'!$A$3:$E$32,5,FALSE)),0,VLOOKUP(A8,'Prime Freelance T3 2026'!$A$3:$E$32,5,FALSE))</f>
        <v>0</v>
      </c>
      <c r="G8" s="35"/>
      <c r="H8" s="40">
        <f>IF(ISNA(VLOOKUP(A8,'Prime Freelance T4 2026'!$A$4:$F$36,4,FALSE)),0,VLOOKUP(A8,'Prime Freelance T4 2026'!$A$4:$F$36,4,FALSE))</f>
        <v>0</v>
      </c>
      <c r="I8" s="35"/>
      <c r="J8" s="22">
        <f t="shared" ref="J8:K8" si="3">B8+D8+F8+H8</f>
        <v>25077.05</v>
      </c>
      <c r="K8" s="22">
        <f t="shared" si="3"/>
        <v>0</v>
      </c>
      <c r="M8" s="22"/>
    </row>
    <row r="9">
      <c r="A9" s="20" t="s">
        <v>19</v>
      </c>
      <c r="B9" s="36">
        <f>IF(ISNA(VLOOKUP($A9,'Prime Freelance T1 2026'!$A$3:$F$42,5,FALSE)),0,VLOOKUP($A9,'Prime Freelance T1 2026'!$A$3:$F$42,5,FALSE))</f>
        <v>915</v>
      </c>
      <c r="C9" s="35"/>
      <c r="D9" s="40">
        <f>IF(ISNA(VLOOKUP(A9,'Prime Freelance T2 2026'!$A$3:$H$38,6,FALSE)),0,VLOOKUP(A9,'Prime Freelance T2 2026'!$A$3:$H$38,6,FALSE))</f>
        <v>825</v>
      </c>
      <c r="E9" s="40"/>
      <c r="F9" s="40">
        <f>IF(ISNA(VLOOKUP(A9,'Prime Freelance T3 2026'!$A$3:$E$32,5,FALSE)),0,VLOOKUP(A9,'Prime Freelance T3 2026'!$A$3:$E$32,5,FALSE))</f>
        <v>0</v>
      </c>
      <c r="G9" s="35"/>
      <c r="H9" s="40">
        <f>IF(ISNA(VLOOKUP(A9,'Prime Freelance T4 2026'!$A$4:$F$36,4,FALSE)),0,VLOOKUP(A9,'Prime Freelance T4 2026'!$A$4:$F$36,4,FALSE))</f>
        <v>0</v>
      </c>
      <c r="I9" s="35"/>
      <c r="J9" s="22">
        <f t="shared" ref="J9:K9" si="4">B9+D9+F9+H9</f>
        <v>1740</v>
      </c>
      <c r="K9" s="22">
        <f t="shared" si="4"/>
        <v>0</v>
      </c>
      <c r="M9" s="22"/>
    </row>
    <row r="10">
      <c r="A10" s="20" t="s">
        <v>21</v>
      </c>
      <c r="B10" s="36">
        <f>IF(ISNA(VLOOKUP($A10,'Prime Freelance T1 2026'!$A$3:$F$42,5,FALSE)),0,VLOOKUP($A10,'Prime Freelance T1 2026'!$A$3:$F$42,5,FALSE))</f>
        <v>1160</v>
      </c>
      <c r="C10" s="35"/>
      <c r="D10" s="40">
        <f>IF(ISNA(VLOOKUP(A10,'Prime Freelance T2 2026'!$A$3:$H$38,6,FALSE)),0,VLOOKUP(A10,'Prime Freelance T2 2026'!$A$3:$H$38,6,FALSE))</f>
        <v>910</v>
      </c>
      <c r="E10" s="40"/>
      <c r="F10" s="40">
        <f>IF(ISNA(VLOOKUP(A10,'Prime Freelance T3 2026'!$A$3:$E$32,5,FALSE)),0,VLOOKUP(A10,'Prime Freelance T3 2026'!$A$3:$E$32,5,FALSE))</f>
        <v>0</v>
      </c>
      <c r="G10" s="35"/>
      <c r="H10" s="40">
        <f>IF(ISNA(VLOOKUP(A10,'Prime Freelance T4 2026'!$A$4:$F$36,4,FALSE)),0,VLOOKUP(A10,'Prime Freelance T4 2026'!$A$4:$F$36,4,FALSE))</f>
        <v>0</v>
      </c>
      <c r="I10" s="35"/>
      <c r="J10" s="22">
        <f t="shared" ref="J10:K10" si="5">B10+D10+F10+H10</f>
        <v>2070</v>
      </c>
      <c r="K10" s="22">
        <f t="shared" si="5"/>
        <v>0</v>
      </c>
      <c r="M10" s="22"/>
    </row>
    <row r="11">
      <c r="A11" s="20" t="s">
        <v>22</v>
      </c>
      <c r="B11" s="36">
        <f>IF(ISNA(VLOOKUP($A11,'Prime Freelance T1 2026'!$A$3:$F$42,5,FALSE)),0,VLOOKUP($A11,'Prime Freelance T1 2026'!$A$3:$F$42,5,FALSE))</f>
        <v>2439.09</v>
      </c>
      <c r="C11" s="35"/>
      <c r="D11" s="40">
        <f>IF(ISNA(VLOOKUP(A11,'Prime Freelance T2 2026'!$A$3:$H$38,6,FALSE)),0,VLOOKUP(A11,'Prime Freelance T2 2026'!$A$3:$H$38,6,FALSE))</f>
        <v>1672.95</v>
      </c>
      <c r="E11" s="40"/>
      <c r="F11" s="40">
        <f>IF(ISNA(VLOOKUP(A11,'Prime Freelance T3 2026'!$A$3:$E$32,5,FALSE)),0,VLOOKUP(A11,'Prime Freelance T3 2026'!$A$3:$E$32,5,FALSE))</f>
        <v>0</v>
      </c>
      <c r="G11" s="35"/>
      <c r="H11" s="40">
        <f>IF(ISNA(VLOOKUP(A11,'Prime Freelance T4 2026'!$A$4:$F$36,4,FALSE)),0,VLOOKUP(A11,'Prime Freelance T4 2026'!$A$4:$F$36,4,FALSE))</f>
        <v>0</v>
      </c>
      <c r="I11" s="35"/>
      <c r="J11" s="22">
        <f t="shared" ref="J11:K11" si="6">B11+D11+F11+H11</f>
        <v>4112.04</v>
      </c>
      <c r="K11" s="22">
        <f t="shared" si="6"/>
        <v>0</v>
      </c>
      <c r="M11" s="22"/>
    </row>
    <row r="12">
      <c r="A12" s="20" t="s">
        <v>23</v>
      </c>
      <c r="B12" s="36">
        <f>IF(ISNA(VLOOKUP($A12,'Prime Freelance T1 2026'!$A$3:$F$42,5,FALSE)),0,VLOOKUP($A12,'Prime Freelance T1 2026'!$A$3:$F$42,5,FALSE))</f>
        <v>9714.8</v>
      </c>
      <c r="C12" s="35"/>
      <c r="D12" s="40">
        <f>IF(ISNA(VLOOKUP(A12,'Prime Freelance T2 2026'!$A$3:$H$38,6,FALSE)),0,VLOOKUP(A12,'Prime Freelance T2 2026'!$A$3:$H$38,6,FALSE))</f>
        <v>8831.99</v>
      </c>
      <c r="E12" s="40"/>
      <c r="F12" s="40">
        <f>IF(ISNA(VLOOKUP(A12,'Prime Freelance T3 2026'!$A$3:$E$32,5,FALSE)),0,VLOOKUP(A12,'Prime Freelance T3 2026'!$A$3:$E$32,5,FALSE))</f>
        <v>0</v>
      </c>
      <c r="G12" s="35"/>
      <c r="H12" s="40">
        <f>IF(ISNA(VLOOKUP(A12,'Prime Freelance T4 2026'!$A$4:$F$36,4,FALSE)),0,VLOOKUP(A12,'Prime Freelance T4 2026'!$A$4:$F$36,4,FALSE))</f>
        <v>0</v>
      </c>
      <c r="I12" s="35"/>
      <c r="J12" s="22">
        <f t="shared" ref="J12:K12" si="7">B12+D12+F12+H12</f>
        <v>18546.79</v>
      </c>
      <c r="K12" s="22">
        <f t="shared" si="7"/>
        <v>0</v>
      </c>
      <c r="M12" s="22"/>
    </row>
    <row r="13">
      <c r="A13" s="20" t="s">
        <v>24</v>
      </c>
      <c r="B13" s="36">
        <f>IF(ISNA(VLOOKUP($A13,'Prime Freelance T1 2026'!$A$3:$F$42,5,FALSE)),0,VLOOKUP($A13,'Prime Freelance T1 2026'!$A$3:$F$42,5,FALSE))</f>
        <v>507.6</v>
      </c>
      <c r="C13" s="35"/>
      <c r="D13" s="40">
        <f>IF(ISNA(VLOOKUP(A13,'Prime Freelance T2 2026'!$A$3:$H$38,6,FALSE)),0,VLOOKUP(A13,'Prime Freelance T2 2026'!$A$3:$H$38,6,FALSE))</f>
        <v>399.6</v>
      </c>
      <c r="E13" s="40"/>
      <c r="F13" s="40">
        <f>IF(ISNA(VLOOKUP(A13,'Prime Freelance T3 2026'!$A$3:$E$32,5,FALSE)),0,VLOOKUP(A13,'Prime Freelance T3 2026'!$A$3:$E$32,5,FALSE))</f>
        <v>0</v>
      </c>
      <c r="G13" s="35"/>
      <c r="H13" s="40">
        <f>IF(ISNA(VLOOKUP(A13,'Prime Freelance T4 2026'!$A$4:$F$36,4,FALSE)),0,VLOOKUP(A13,'Prime Freelance T4 2026'!$A$4:$F$36,4,FALSE))</f>
        <v>0</v>
      </c>
      <c r="I13" s="35"/>
      <c r="J13" s="22">
        <f t="shared" ref="J13:K13" si="8">B13+D13+F13+H13</f>
        <v>907.2</v>
      </c>
      <c r="K13" s="22">
        <f t="shared" si="8"/>
        <v>0</v>
      </c>
      <c r="M13" s="22"/>
    </row>
    <row r="14">
      <c r="A14" s="20" t="s">
        <v>25</v>
      </c>
      <c r="B14" s="36">
        <f>IF(ISNA(VLOOKUP($A14,'Prime Freelance T1 2026'!$A$3:$F$42,5,FALSE)),0,VLOOKUP($A14,'Prime Freelance T1 2026'!$A$3:$F$42,5,FALSE))</f>
        <v>1669.75</v>
      </c>
      <c r="C14" s="35"/>
      <c r="D14" s="40">
        <f>IF(ISNA(VLOOKUP(A14,'Prime Freelance T2 2026'!$A$3:$H$38,6,FALSE)),0,VLOOKUP(A14,'Prime Freelance T2 2026'!$A$3:$H$38,6,FALSE))</f>
        <v>863.89</v>
      </c>
      <c r="E14" s="40"/>
      <c r="F14" s="40">
        <f>IF(ISNA(VLOOKUP(A14,'Prime Freelance T3 2026'!$A$3:$E$32,5,FALSE)),0,VLOOKUP(A14,'Prime Freelance T3 2026'!$A$3:$E$32,5,FALSE))</f>
        <v>0</v>
      </c>
      <c r="G14" s="35"/>
      <c r="H14" s="40">
        <f>IF(ISNA(VLOOKUP(A14,'Prime Freelance T4 2026'!$A$4:$F$36,4,FALSE)),0,VLOOKUP(A14,'Prime Freelance T4 2026'!$A$4:$F$36,4,FALSE))</f>
        <v>0</v>
      </c>
      <c r="I14" s="35"/>
      <c r="J14" s="22">
        <f t="shared" ref="J14:K14" si="9">B14+D14+F14+H14</f>
        <v>2533.64</v>
      </c>
      <c r="K14" s="22">
        <f t="shared" si="9"/>
        <v>0</v>
      </c>
      <c r="M14" s="22"/>
    </row>
    <row r="15">
      <c r="A15" s="20" t="s">
        <v>26</v>
      </c>
      <c r="B15" s="36">
        <f>IF(ISNA(VLOOKUP($A15,'Prime Freelance T1 2026'!$A$3:$F$42,5,FALSE)),0,VLOOKUP($A15,'Prime Freelance T1 2026'!$A$3:$F$42,5,FALSE))</f>
        <v>11905.55</v>
      </c>
      <c r="C15" s="35"/>
      <c r="D15" s="40">
        <f>IF(ISNA(VLOOKUP(A15,'Prime Freelance T2 2026'!$A$3:$H$38,6,FALSE)),0,VLOOKUP(A15,'Prime Freelance T2 2026'!$A$3:$H$38,6,FALSE))</f>
        <v>15470</v>
      </c>
      <c r="E15" s="40"/>
      <c r="F15" s="40">
        <f>IF(ISNA(VLOOKUP(A15,'Prime Freelance T3 2026'!$A$3:$E$32,5,FALSE)),0,VLOOKUP(A15,'Prime Freelance T3 2026'!$A$3:$E$32,5,FALSE))</f>
        <v>0</v>
      </c>
      <c r="G15" s="35"/>
      <c r="H15" s="40">
        <f>IF(ISNA(VLOOKUP(A15,'Prime Freelance T4 2026'!$A$4:$F$36,4,FALSE)),0,VLOOKUP(A15,'Prime Freelance T4 2026'!$A$4:$F$36,4,FALSE))</f>
        <v>0</v>
      </c>
      <c r="I15" s="35"/>
      <c r="J15" s="22">
        <f t="shared" ref="J15:K15" si="10">B15+D15+F15+H15</f>
        <v>27375.55</v>
      </c>
      <c r="K15" s="22">
        <f t="shared" si="10"/>
        <v>0</v>
      </c>
      <c r="M15" s="22"/>
    </row>
    <row r="16">
      <c r="A16" s="20" t="s">
        <v>27</v>
      </c>
      <c r="B16" s="36">
        <f>IF(ISNA(VLOOKUP($A16,'Prime Freelance T1 2026'!$A$3:$F$42,5,FALSE)),0,VLOOKUP($A16,'Prime Freelance T1 2026'!$A$3:$F$42,5,FALSE))</f>
        <v>290</v>
      </c>
      <c r="C16" s="35"/>
      <c r="D16" s="40">
        <f>IF(ISNA(VLOOKUP(A16,'Prime Freelance T2 2026'!$A$3:$H$38,6,FALSE)),0,VLOOKUP(A16,'Prime Freelance T2 2026'!$A$3:$H$38,6,FALSE))</f>
        <v>0</v>
      </c>
      <c r="E16" s="40"/>
      <c r="F16" s="40">
        <f>IF(ISNA(VLOOKUP(A16,'Prime Freelance T3 2026'!$A$3:$E$32,5,FALSE)),0,VLOOKUP(A16,'Prime Freelance T3 2026'!$A$3:$E$32,5,FALSE))</f>
        <v>0</v>
      </c>
      <c r="G16" s="35"/>
      <c r="H16" s="40">
        <f>IF(ISNA(VLOOKUP(A16,'Prime Freelance T4 2026'!$A$4:$F$36,4,FALSE)),0,VLOOKUP(A16,'Prime Freelance T4 2026'!$A$4:$F$36,4,FALSE))</f>
        <v>0</v>
      </c>
      <c r="I16" s="35"/>
      <c r="J16" s="22">
        <f t="shared" ref="J16:K16" si="11">B16+D16+F16+H16</f>
        <v>290</v>
      </c>
      <c r="K16" s="22">
        <f t="shared" si="11"/>
        <v>0</v>
      </c>
      <c r="M16" s="22"/>
    </row>
    <row r="17">
      <c r="A17" s="20" t="s">
        <v>28</v>
      </c>
      <c r="B17" s="36">
        <f>IF(ISNA(VLOOKUP($A17,'Prime Freelance T1 2026'!$A$3:$F$42,5,FALSE)),0,VLOOKUP($A17,'Prime Freelance T1 2026'!$A$3:$F$42,5,FALSE))</f>
        <v>22421.22</v>
      </c>
      <c r="C17" s="35"/>
      <c r="D17" s="40">
        <f>IF(ISNA(VLOOKUP(A17,'Prime Freelance T2 2026'!$A$3:$H$38,6,FALSE)),0,VLOOKUP(A17,'Prime Freelance T2 2026'!$A$3:$H$38,6,FALSE))</f>
        <v>27005.67</v>
      </c>
      <c r="E17" s="40"/>
      <c r="F17" s="40">
        <f>IF(ISNA(VLOOKUP(A17,'Prime Freelance T3 2026'!$A$3:$E$32,5,FALSE)),0,VLOOKUP(A17,'Prime Freelance T3 2026'!$A$3:$E$32,5,FALSE))</f>
        <v>0</v>
      </c>
      <c r="G17" s="35"/>
      <c r="H17" s="40">
        <f>IF(ISNA(VLOOKUP(A17,'Prime Freelance T4 2026'!$A$4:$F$36,4,FALSE)),0,VLOOKUP(A17,'Prime Freelance T4 2026'!$A$4:$F$36,4,FALSE))</f>
        <v>0</v>
      </c>
      <c r="I17" s="35"/>
      <c r="J17" s="22">
        <f t="shared" ref="J17:K17" si="12">B17+D17+F17+H17</f>
        <v>49426.89</v>
      </c>
      <c r="K17" s="22">
        <f t="shared" si="12"/>
        <v>0</v>
      </c>
      <c r="M17" s="22"/>
    </row>
    <row r="18">
      <c r="A18" s="20" t="s">
        <v>29</v>
      </c>
      <c r="B18" s="36">
        <f>IF(ISNA(VLOOKUP($A18,'Prime Freelance T1 2026'!$A$3:$F$42,5,FALSE)),0,VLOOKUP($A18,'Prime Freelance T1 2026'!$A$3:$F$42,5,FALSE))</f>
        <v>44.7</v>
      </c>
      <c r="C18" s="35"/>
      <c r="D18" s="40">
        <f>IF(ISNA(VLOOKUP(A18,'Prime Freelance T2 2026'!$A$3:$H$38,6,FALSE)),0,VLOOKUP(A18,'Prime Freelance T2 2026'!$A$3:$H$38,6,FALSE))</f>
        <v>223.5</v>
      </c>
      <c r="E18" s="40"/>
      <c r="F18" s="40">
        <f>IF(ISNA(VLOOKUP(A18,'Prime Freelance T3 2026'!$A$3:$E$32,5,FALSE)),0,VLOOKUP(A18,'Prime Freelance T3 2026'!$A$3:$E$32,5,FALSE))</f>
        <v>0</v>
      </c>
      <c r="G18" s="35"/>
      <c r="H18" s="40">
        <f>IF(ISNA(VLOOKUP(A18,'Prime Freelance T4 2026'!$A$4:$F$36,4,FALSE)),0,VLOOKUP(A18,'Prime Freelance T4 2026'!$A$4:$F$36,4,FALSE))</f>
        <v>0</v>
      </c>
      <c r="I18" s="35"/>
      <c r="J18" s="22">
        <f t="shared" ref="J18:K18" si="13">B18+D18+F18+H18</f>
        <v>268.2</v>
      </c>
      <c r="K18" s="22">
        <f t="shared" si="13"/>
        <v>0</v>
      </c>
      <c r="M18" s="22"/>
    </row>
    <row r="19">
      <c r="A19" s="20" t="s">
        <v>30</v>
      </c>
      <c r="B19" s="36">
        <f>IF(ISNA(VLOOKUP($A19,'Prime Freelance T1 2026'!$A$3:$F$42,5,FALSE)),0,VLOOKUP($A19,'Prime Freelance T1 2026'!$A$3:$F$42,5,FALSE))</f>
        <v>739.03</v>
      </c>
      <c r="C19" s="35"/>
      <c r="D19" s="40">
        <f>IF(ISNA(VLOOKUP(A19,'Prime Freelance T2 2026'!$A$3:$H$38,6,FALSE)),0,VLOOKUP(A19,'Prime Freelance T2 2026'!$A$3:$H$38,6,FALSE))</f>
        <v>947.33</v>
      </c>
      <c r="E19" s="40"/>
      <c r="F19" s="40">
        <f>IF(ISNA(VLOOKUP(A19,'Prime Freelance T3 2026'!$A$3:$E$32,5,FALSE)),0,VLOOKUP(A19,'Prime Freelance T3 2026'!$A$3:$E$32,5,FALSE))</f>
        <v>0</v>
      </c>
      <c r="G19" s="35"/>
      <c r="H19" s="40">
        <f>IF(ISNA(VLOOKUP(A19,'Prime Freelance T4 2026'!$A$4:$F$36,4,FALSE)),0,VLOOKUP(A19,'Prime Freelance T4 2026'!$A$4:$F$36,4,FALSE))</f>
        <v>0</v>
      </c>
      <c r="I19" s="35"/>
      <c r="J19" s="22">
        <f t="shared" ref="J19:K19" si="14">B19+D19+F19+H19</f>
        <v>1686.36</v>
      </c>
      <c r="K19" s="22">
        <f t="shared" si="14"/>
        <v>0</v>
      </c>
      <c r="M19" s="63"/>
    </row>
    <row r="20">
      <c r="A20" s="20" t="s">
        <v>31</v>
      </c>
      <c r="B20" s="36">
        <f>IF(ISNA(VLOOKUP($A20,'Prime Freelance T1 2026'!$A$3:$F$42,5,FALSE)),0,VLOOKUP($A20,'Prime Freelance T1 2026'!$A$3:$F$42,5,FALSE))</f>
        <v>13818.8</v>
      </c>
      <c r="C20" s="35"/>
      <c r="D20" s="40">
        <f>IF(ISNA(VLOOKUP(A20,'Prime Freelance T2 2026'!$A$3:$H$38,6,FALSE)),0,VLOOKUP(A20,'Prime Freelance T2 2026'!$A$3:$H$38,6,FALSE))</f>
        <v>13637.95</v>
      </c>
      <c r="E20" s="40"/>
      <c r="F20" s="40">
        <f>IF(ISNA(VLOOKUP(A20,'Prime Freelance T3 2026'!$A$3:$E$32,5,FALSE)),0,VLOOKUP(A20,'Prime Freelance T3 2026'!$A$3:$E$32,5,FALSE))</f>
        <v>0</v>
      </c>
      <c r="G20" s="35"/>
      <c r="H20" s="40">
        <f>IF(ISNA(VLOOKUP(A20,'Prime Freelance T4 2026'!$A$4:$F$36,4,FALSE)),0,VLOOKUP(A20,'Prime Freelance T4 2026'!$A$4:$F$36,4,FALSE))</f>
        <v>0</v>
      </c>
      <c r="I20" s="35"/>
      <c r="J20" s="22">
        <f t="shared" ref="J20:K20" si="15">B20+D20+F20+H20</f>
        <v>27456.75</v>
      </c>
      <c r="K20" s="22">
        <f t="shared" si="15"/>
        <v>0</v>
      </c>
      <c r="M20" s="22"/>
    </row>
    <row r="21">
      <c r="A21" s="20" t="s">
        <v>32</v>
      </c>
      <c r="B21" s="36">
        <f>IF(ISNA(VLOOKUP($A21,'Prime Freelance T1 2026'!$A$3:$F$42,5,FALSE)),0,VLOOKUP($A21,'Prime Freelance T1 2026'!$A$3:$F$42,5,FALSE))</f>
        <v>882</v>
      </c>
      <c r="C21" s="35"/>
      <c r="D21" s="40">
        <f>IF(ISNA(VLOOKUP(A21,'Prime Freelance T2 2026'!$A$3:$H$38,6,FALSE)),0,VLOOKUP(A21,'Prime Freelance T2 2026'!$A$3:$H$38,6,FALSE))</f>
        <v>220.5</v>
      </c>
      <c r="E21" s="40"/>
      <c r="F21" s="40">
        <f>IF(ISNA(VLOOKUP(A21,'Prime Freelance T3 2026'!$A$3:$E$32,5,FALSE)),0,VLOOKUP(A21,'Prime Freelance T3 2026'!$A$3:$E$32,5,FALSE))</f>
        <v>0</v>
      </c>
      <c r="G21" s="35"/>
      <c r="H21" s="40">
        <f>IF(ISNA(VLOOKUP(A21,'Prime Freelance T4 2026'!$A$4:$F$36,4,FALSE)),0,VLOOKUP(A21,'Prime Freelance T4 2026'!$A$4:$F$36,4,FALSE))</f>
        <v>0</v>
      </c>
      <c r="I21" s="35"/>
      <c r="J21" s="22">
        <f t="shared" ref="J21:K21" si="16">B21+D21+F21+H21</f>
        <v>1102.5</v>
      </c>
      <c r="K21" s="22">
        <f t="shared" si="16"/>
        <v>0</v>
      </c>
      <c r="M21" s="22"/>
    </row>
    <row r="22">
      <c r="A22" s="20" t="s">
        <v>33</v>
      </c>
      <c r="B22" s="36">
        <f>IF(ISNA(VLOOKUP($A22,'Prime Freelance T1 2026'!$A$3:$F$42,5,FALSE)),0,VLOOKUP($A22,'Prime Freelance T1 2026'!$A$3:$F$42,5,FALSE))</f>
        <v>2934</v>
      </c>
      <c r="C22" s="35"/>
      <c r="D22" s="40">
        <f>IF(ISNA(VLOOKUP(A22,'Prime Freelance T2 2026'!$A$3:$H$38,6,FALSE)),0,VLOOKUP(A22,'Prime Freelance T2 2026'!$A$3:$H$38,6,FALSE))</f>
        <v>2099.94</v>
      </c>
      <c r="E22" s="40"/>
      <c r="F22" s="40">
        <f>IF(ISNA(VLOOKUP(A22,'Prime Freelance T3 2026'!$A$3:$E$32,5,FALSE)),0,VLOOKUP(A22,'Prime Freelance T3 2026'!$A$3:$E$32,5,FALSE))</f>
        <v>0</v>
      </c>
      <c r="G22" s="35"/>
      <c r="H22" s="40">
        <f>IF(ISNA(VLOOKUP(A22,'Prime Freelance T4 2026'!$A$4:$F$36,4,FALSE)),0,VLOOKUP(A22,'Prime Freelance T4 2026'!$A$4:$F$36,4,FALSE))</f>
        <v>0</v>
      </c>
      <c r="I22" s="35"/>
      <c r="J22" s="22">
        <f t="shared" ref="J22:K22" si="17">B22+D22+F22+H22</f>
        <v>5033.94</v>
      </c>
      <c r="K22" s="22">
        <f t="shared" si="17"/>
        <v>0</v>
      </c>
      <c r="M22" s="22"/>
    </row>
    <row r="23">
      <c r="A23" s="20" t="s">
        <v>34</v>
      </c>
      <c r="B23" s="36">
        <f>IF(ISNA(VLOOKUP($A23,'Prime Freelance T1 2026'!$A$3:$F$42,5,FALSE)),0,VLOOKUP($A23,'Prime Freelance T1 2026'!$A$3:$F$42,5,FALSE))</f>
        <v>2856.8</v>
      </c>
      <c r="C23" s="35"/>
      <c r="D23" s="40">
        <f>IF(ISNA(VLOOKUP(A23,'Prime Freelance T2 2026'!$A$3:$H$38,6,FALSE)),0,VLOOKUP(A23,'Prime Freelance T2 2026'!$A$3:$H$38,6,FALSE))</f>
        <v>3691.1</v>
      </c>
      <c r="E23" s="40"/>
      <c r="F23" s="40">
        <f>IF(ISNA(VLOOKUP(A23,'Prime Freelance T3 2026'!$A$3:$E$32,5,FALSE)),0,VLOOKUP(A23,'Prime Freelance T3 2026'!$A$3:$E$32,5,FALSE))</f>
        <v>0</v>
      </c>
      <c r="G23" s="35"/>
      <c r="H23" s="40">
        <f>IF(ISNA(VLOOKUP(A23,'Prime Freelance T4 2026'!$A$4:$F$36,4,FALSE)),0,VLOOKUP(A23,'Prime Freelance T4 2026'!$A$4:$F$36,4,FALSE))</f>
        <v>0</v>
      </c>
      <c r="I23" s="35"/>
      <c r="J23" s="22">
        <f t="shared" ref="J23:K23" si="18">B23+D23+F23+H23</f>
        <v>6547.9</v>
      </c>
      <c r="K23" s="22">
        <f t="shared" si="18"/>
        <v>0</v>
      </c>
      <c r="M23" s="22"/>
    </row>
    <row r="24">
      <c r="A24" s="20" t="s">
        <v>35</v>
      </c>
      <c r="B24" s="36">
        <f>IF(ISNA(VLOOKUP($A24,'Prime Freelance T1 2026'!$A$3:$F$42,5,FALSE)),0,VLOOKUP($A24,'Prime Freelance T1 2026'!$A$3:$F$42,5,FALSE))</f>
        <v>11212.35</v>
      </c>
      <c r="C24" s="35"/>
      <c r="D24" s="40">
        <f>IF(ISNA(VLOOKUP(A24,'Prime Freelance T2 2026'!$A$3:$H$38,6,FALSE)),0,VLOOKUP(A24,'Prime Freelance T2 2026'!$A$3:$H$38,6,FALSE))</f>
        <v>8894.2</v>
      </c>
      <c r="E24" s="40"/>
      <c r="F24" s="40">
        <f>IF(ISNA(VLOOKUP(A24,'Prime Freelance T3 2026'!$A$3:$E$32,5,FALSE)),0,VLOOKUP(A24,'Prime Freelance T3 2026'!$A$3:$E$32,5,FALSE))</f>
        <v>0</v>
      </c>
      <c r="G24" s="35"/>
      <c r="H24" s="40">
        <f>IF(ISNA(VLOOKUP(A24,'Prime Freelance T4 2026'!$A$4:$F$36,4,FALSE)),0,VLOOKUP(A24,'Prime Freelance T4 2026'!$A$4:$F$36,4,FALSE))</f>
        <v>0</v>
      </c>
      <c r="I24" s="35"/>
      <c r="J24" s="22">
        <f t="shared" ref="J24:K24" si="19">B24+D24+F24+H24</f>
        <v>20106.55</v>
      </c>
      <c r="K24" s="22">
        <f t="shared" si="19"/>
        <v>0</v>
      </c>
      <c r="M24" s="22"/>
    </row>
    <row r="25">
      <c r="A25" s="20" t="s">
        <v>37</v>
      </c>
      <c r="B25" s="36">
        <f>IF(ISNA(VLOOKUP($A25,'Prime Freelance T1 2026'!$A$3:$F$42,5,FALSE)),0,VLOOKUP($A25,'Prime Freelance T1 2026'!$A$3:$F$42,5,FALSE))</f>
        <v>168.39</v>
      </c>
      <c r="C25" s="35"/>
      <c r="D25" s="40">
        <f>IF(ISNA(VLOOKUP(A25,'Prime Freelance T2 2026'!$A$3:$H$38,6,FALSE)),0,VLOOKUP(A25,'Prime Freelance T2 2026'!$A$3:$H$38,6,FALSE))</f>
        <v>290</v>
      </c>
      <c r="E25" s="40"/>
      <c r="F25" s="40">
        <f>IF(ISNA(VLOOKUP(A25,'Prime Freelance T3 2026'!$A$3:$E$32,5,FALSE)),0,VLOOKUP(A25,'Prime Freelance T3 2026'!$A$3:$E$32,5,FALSE))</f>
        <v>0</v>
      </c>
      <c r="G25" s="35"/>
      <c r="H25" s="40">
        <f>IF(ISNA(VLOOKUP(A25,'Prime Freelance T4 2026'!$A$4:$F$36,4,FALSE)),0,VLOOKUP(A25,'Prime Freelance T4 2026'!$A$4:$F$36,4,FALSE))</f>
        <v>0</v>
      </c>
      <c r="I25" s="35"/>
      <c r="J25" s="22">
        <f t="shared" ref="J25:K25" si="20">B25+D25+F25+H25</f>
        <v>458.39</v>
      </c>
      <c r="K25" s="22">
        <f t="shared" si="20"/>
        <v>0</v>
      </c>
      <c r="M25" s="22"/>
    </row>
    <row r="26">
      <c r="A26" s="20" t="s">
        <v>38</v>
      </c>
      <c r="B26" s="36">
        <f>IF(ISNA(VLOOKUP($A26,'Prime Freelance T1 2026'!$A$3:$F$42,5,FALSE)),0,VLOOKUP($A26,'Prime Freelance T1 2026'!$A$3:$F$42,5,FALSE))</f>
        <v>702.7</v>
      </c>
      <c r="C26" s="35"/>
      <c r="D26" s="40">
        <f>IF(ISNA(VLOOKUP(A26,'Prime Freelance T2 2026'!$A$3:$H$38,6,FALSE)),0,VLOOKUP(A26,'Prime Freelance T2 2026'!$A$3:$H$38,6,FALSE))</f>
        <v>789.5</v>
      </c>
      <c r="E26" s="40"/>
      <c r="F26" s="40">
        <f>IF(ISNA(VLOOKUP(A26,'Prime Freelance T3 2026'!$A$3:$E$32,5,FALSE)),0,VLOOKUP(A26,'Prime Freelance T3 2026'!$A$3:$E$32,5,FALSE))</f>
        <v>0</v>
      </c>
      <c r="G26" s="35"/>
      <c r="H26" s="40">
        <f>IF(ISNA(VLOOKUP(A26,'Prime Freelance T4 2026'!$A$4:$F$36,4,FALSE)),0,VLOOKUP(A26,'Prime Freelance T4 2026'!$A$4:$F$36,4,FALSE))</f>
        <v>0</v>
      </c>
      <c r="I26" s="35"/>
      <c r="J26" s="22">
        <f t="shared" ref="J26:K26" si="21">B26+D26+F26+H26</f>
        <v>1492.2</v>
      </c>
      <c r="K26" s="22">
        <f t="shared" si="21"/>
        <v>0</v>
      </c>
      <c r="M26" s="22"/>
    </row>
    <row r="27">
      <c r="A27" s="20" t="s">
        <v>39</v>
      </c>
      <c r="B27" s="36">
        <f>IF(ISNA(VLOOKUP($A27,'Prime Freelance T1 2026'!$A$3:$F$42,5,FALSE)),0,VLOOKUP($A27,'Prime Freelance T1 2026'!$A$3:$F$42,5,FALSE))</f>
        <v>928</v>
      </c>
      <c r="C27" s="35"/>
      <c r="D27" s="40">
        <f>IF(ISNA(VLOOKUP(A27,'Prime Freelance T2 2026'!$A$3:$H$38,6,FALSE)),0,VLOOKUP(A27,'Prime Freelance T2 2026'!$A$3:$H$38,6,FALSE))</f>
        <v>1392</v>
      </c>
      <c r="E27" s="40"/>
      <c r="F27" s="40">
        <f>IF(ISNA(VLOOKUP(A27,'Prime Freelance T3 2026'!$A$3:$E$32,5,FALSE)),0,VLOOKUP(A27,'Prime Freelance T3 2026'!$A$3:$E$32,5,FALSE))</f>
        <v>0</v>
      </c>
      <c r="G27" s="35"/>
      <c r="H27" s="40">
        <f>IF(ISNA(VLOOKUP(A27,'Prime Freelance T4 2026'!$A$4:$F$36,4,FALSE)),0,VLOOKUP(A27,'Prime Freelance T4 2026'!$A$4:$F$36,4,FALSE))</f>
        <v>0</v>
      </c>
      <c r="I27" s="35"/>
      <c r="J27" s="22">
        <f t="shared" ref="J27:K27" si="22">B27+D27+F27+H27</f>
        <v>2320</v>
      </c>
      <c r="K27" s="22">
        <f t="shared" si="22"/>
        <v>0</v>
      </c>
      <c r="M27" s="22"/>
    </row>
    <row r="28">
      <c r="A28" s="20" t="s">
        <v>40</v>
      </c>
      <c r="B28" s="36">
        <f>IF(ISNA(VLOOKUP($A28,'Prime Freelance T1 2026'!$A$3:$F$42,5,FALSE)),0,VLOOKUP($A28,'Prime Freelance T1 2026'!$A$3:$F$42,5,FALSE))</f>
        <v>620</v>
      </c>
      <c r="C28" s="35"/>
      <c r="D28" s="40">
        <f>IF(ISNA(VLOOKUP(A28,'Prime Freelance T2 2026'!$A$3:$H$38,6,FALSE)),0,VLOOKUP(A28,'Prime Freelance T2 2026'!$A$3:$H$38,6,FALSE))</f>
        <v>650</v>
      </c>
      <c r="E28" s="40"/>
      <c r="F28" s="40">
        <f>IF(ISNA(VLOOKUP(A28,'Prime Freelance T3 2026'!$A$3:$E$32,5,FALSE)),0,VLOOKUP(A28,'Prime Freelance T3 2026'!$A$3:$E$32,5,FALSE))</f>
        <v>0</v>
      </c>
      <c r="G28" s="35"/>
      <c r="H28" s="40">
        <f>IF(ISNA(VLOOKUP(A28,'Prime Freelance T4 2026'!$A$4:$F$36,4,FALSE)),0,VLOOKUP(A28,'Prime Freelance T4 2026'!$A$4:$F$36,4,FALSE))</f>
        <v>0</v>
      </c>
      <c r="I28" s="35"/>
      <c r="J28" s="22">
        <f t="shared" ref="J28:K28" si="23">B28+D28+F28+H28</f>
        <v>1270</v>
      </c>
      <c r="K28" s="22">
        <f t="shared" si="23"/>
        <v>0</v>
      </c>
      <c r="M28" s="22"/>
    </row>
    <row r="29">
      <c r="A29" s="20" t="s">
        <v>41</v>
      </c>
      <c r="B29" s="36">
        <f>IF(ISNA(VLOOKUP($A29,'Prime Freelance T1 2026'!$A$3:$F$42,5,FALSE)),0,VLOOKUP($A29,'Prime Freelance T1 2026'!$A$3:$F$42,5,FALSE))</f>
        <v>533.2</v>
      </c>
      <c r="C29" s="35"/>
      <c r="D29" s="40">
        <f>IF(ISNA(VLOOKUP(A29,'Prime Freelance T2 2026'!$A$3:$H$38,6,FALSE)),0,VLOOKUP(A29,'Prime Freelance T2 2026'!$A$3:$H$38,6,FALSE))</f>
        <v>1751.6</v>
      </c>
      <c r="E29" s="40"/>
      <c r="F29" s="40">
        <f>IF(ISNA(VLOOKUP(A29,'Prime Freelance T3 2026'!$A$3:$E$32,5,FALSE)),0,VLOOKUP(A29,'Prime Freelance T3 2026'!$A$3:$E$32,5,FALSE))</f>
        <v>0</v>
      </c>
      <c r="G29" s="35"/>
      <c r="H29" s="40">
        <f>IF(ISNA(VLOOKUP(A29,'Prime Freelance T4 2026'!$A$4:$F$36,4,FALSE)),0,VLOOKUP(A29,'Prime Freelance T4 2026'!$A$4:$F$36,4,FALSE))</f>
        <v>0</v>
      </c>
      <c r="I29" s="35"/>
      <c r="J29" s="22">
        <f t="shared" ref="J29:K29" si="24">B29+D29+F29+H29</f>
        <v>2284.8</v>
      </c>
      <c r="K29" s="22">
        <f t="shared" si="24"/>
        <v>0</v>
      </c>
      <c r="M29" s="22"/>
    </row>
    <row r="30">
      <c r="A30" s="20" t="s">
        <v>42</v>
      </c>
      <c r="B30" s="36">
        <f>IF(ISNA(VLOOKUP($A30,'Prime Freelance T1 2026'!$A$3:$F$42,5,FALSE)),0,VLOOKUP($A30,'Prime Freelance T1 2026'!$A$3:$F$42,5,FALSE))</f>
        <v>820.2</v>
      </c>
      <c r="C30" s="35"/>
      <c r="D30" s="40">
        <f>IF(ISNA(VLOOKUP(A30,'Prime Freelance T2 2026'!$A$3:$H$38,6,FALSE)),0,VLOOKUP(A30,'Prime Freelance T2 2026'!$A$3:$H$38,6,FALSE))</f>
        <v>882.13</v>
      </c>
      <c r="E30" s="40"/>
      <c r="F30" s="40">
        <f>IF(ISNA(VLOOKUP(A30,'Prime Freelance T3 2026'!$A$3:$E$32,5,FALSE)),0,VLOOKUP(A30,'Prime Freelance T3 2026'!$A$3:$E$32,5,FALSE))</f>
        <v>0</v>
      </c>
      <c r="G30" s="35"/>
      <c r="H30" s="40">
        <f>IF(ISNA(VLOOKUP(A30,'Prime Freelance T4 2026'!$A$4:$F$36,4,FALSE)),0,VLOOKUP(A30,'Prime Freelance T4 2026'!$A$4:$F$36,4,FALSE))</f>
        <v>0</v>
      </c>
      <c r="I30" s="35"/>
      <c r="J30" s="22">
        <f t="shared" ref="J30:K30" si="25">B30+D30+F30+H30</f>
        <v>1702.33</v>
      </c>
      <c r="K30" s="22">
        <f t="shared" si="25"/>
        <v>0</v>
      </c>
      <c r="M30" s="22"/>
    </row>
    <row r="31">
      <c r="A31" s="20" t="s">
        <v>43</v>
      </c>
      <c r="B31" s="36">
        <f>IF(ISNA(VLOOKUP($A31,'Prime Freelance T1 2026'!$A$3:$F$42,5,FALSE)),0,VLOOKUP($A31,'Prime Freelance T1 2026'!$A$3:$F$42,5,FALSE))</f>
        <v>2581.21</v>
      </c>
      <c r="C31" s="35"/>
      <c r="D31" s="40">
        <f>IF(ISNA(VLOOKUP(A31,'Prime Freelance T2 2026'!$A$3:$H$38,6,FALSE)),0,VLOOKUP(A31,'Prime Freelance T2 2026'!$A$3:$H$38,6,FALSE))</f>
        <v>794.05</v>
      </c>
      <c r="E31" s="40"/>
      <c r="F31" s="40">
        <f>IF(ISNA(VLOOKUP(A31,'Prime Freelance T3 2026'!$A$3:$E$32,5,FALSE)),0,VLOOKUP(A31,'Prime Freelance T3 2026'!$A$3:$E$32,5,FALSE))</f>
        <v>0</v>
      </c>
      <c r="G31" s="35"/>
      <c r="H31" s="40">
        <f>IF(ISNA(VLOOKUP(A31,'Prime Freelance T4 2026'!$A$4:$F$36,4,FALSE)),0,VLOOKUP(A31,'Prime Freelance T4 2026'!$A$4:$F$36,4,FALSE))</f>
        <v>0</v>
      </c>
      <c r="I31" s="35"/>
      <c r="J31" s="22">
        <f t="shared" ref="J31:K31" si="26">B31+D31+F31+H31</f>
        <v>3375.26</v>
      </c>
      <c r="K31" s="22">
        <f t="shared" si="26"/>
        <v>0</v>
      </c>
      <c r="M31" s="22"/>
    </row>
    <row r="32">
      <c r="A32" s="20" t="s">
        <v>44</v>
      </c>
      <c r="B32" s="36">
        <f>IF(ISNA(VLOOKUP($A32,'Prime Freelance T1 2026'!$A$3:$F$42,5,FALSE)),0,VLOOKUP($A32,'Prime Freelance T1 2026'!$A$3:$F$42,5,FALSE))</f>
        <v>2398.45</v>
      </c>
      <c r="C32" s="35"/>
      <c r="D32" s="40">
        <f>IF(ISNA(VLOOKUP(A32,'Prime Freelance T2 2026'!$A$3:$H$38,6,FALSE)),0,VLOOKUP(A32,'Prime Freelance T2 2026'!$A$3:$H$38,6,FALSE))</f>
        <v>2509.45</v>
      </c>
      <c r="E32" s="40"/>
      <c r="F32" s="40">
        <f>IF(ISNA(VLOOKUP(A32,'Prime Freelance T3 2026'!$A$3:$E$32,5,FALSE)),0,VLOOKUP(A32,'Prime Freelance T3 2026'!$A$3:$E$32,5,FALSE))</f>
        <v>0</v>
      </c>
      <c r="G32" s="35"/>
      <c r="H32" s="40">
        <f>IF(ISNA(VLOOKUP(A32,'Prime Freelance T4 2026'!$A$4:$F$36,4,FALSE)),0,VLOOKUP(A32,'Prime Freelance T4 2026'!$A$4:$F$36,4,FALSE))</f>
        <v>0</v>
      </c>
      <c r="I32" s="35"/>
      <c r="J32" s="22">
        <f t="shared" ref="J32:K32" si="27">B32+D32+F32+H32</f>
        <v>4907.9</v>
      </c>
      <c r="K32" s="22">
        <f t="shared" si="27"/>
        <v>0</v>
      </c>
      <c r="M32" s="22"/>
    </row>
    <row r="33">
      <c r="A33" s="20" t="s">
        <v>45</v>
      </c>
      <c r="B33" s="36">
        <f>IF(ISNA(VLOOKUP($A33,'Prime Freelance T1 2026'!$A$3:$F$42,5,FALSE)),0,VLOOKUP($A33,'Prime Freelance T1 2026'!$A$3:$F$42,5,FALSE))</f>
        <v>708</v>
      </c>
      <c r="C33" s="35"/>
      <c r="D33" s="40">
        <f>IF(ISNA(VLOOKUP(A33,'Prime Freelance T2 2026'!$A$3:$H$38,6,FALSE)),0,VLOOKUP(A33,'Prime Freelance T2 2026'!$A$3:$H$38,6,FALSE))</f>
        <v>1039.33</v>
      </c>
      <c r="E33" s="40"/>
      <c r="F33" s="40">
        <f>IF(ISNA(VLOOKUP(A33,'Prime Freelance T3 2026'!$A$3:$E$32,5,FALSE)),0,VLOOKUP(A33,'Prime Freelance T3 2026'!$A$3:$E$32,5,FALSE))</f>
        <v>0</v>
      </c>
      <c r="G33" s="35"/>
      <c r="H33" s="40">
        <f>IF(ISNA(VLOOKUP(A33,'Prime Freelance T4 2026'!$A$4:$F$36,4,FALSE)),0,VLOOKUP(A33,'Prime Freelance T4 2026'!$A$4:$F$36,4,FALSE))</f>
        <v>0</v>
      </c>
      <c r="I33" s="35"/>
      <c r="J33" s="22">
        <f t="shared" ref="J33:K33" si="28">B33+D33+F33+H33</f>
        <v>1747.33</v>
      </c>
      <c r="K33" s="22">
        <f t="shared" si="28"/>
        <v>0</v>
      </c>
      <c r="M33" s="22"/>
    </row>
    <row r="34">
      <c r="A34" s="20" t="s">
        <v>46</v>
      </c>
      <c r="B34" s="36">
        <f>IF(ISNA(VLOOKUP($A34,'Prime Freelance T1 2026'!$A$3:$F$42,5,FALSE)),0,VLOOKUP($A34,'Prime Freelance T1 2026'!$A$3:$F$42,5,FALSE))</f>
        <v>663</v>
      </c>
      <c r="C34" s="35"/>
      <c r="D34" s="40">
        <f>IF(ISNA(VLOOKUP(A34,'Prime Freelance T2 2026'!$A$3:$H$38,6,FALSE)),0,VLOOKUP(A34,'Prime Freelance T2 2026'!$A$3:$H$38,6,FALSE))</f>
        <v>156</v>
      </c>
      <c r="E34" s="40"/>
      <c r="F34" s="40">
        <f>IF(ISNA(VLOOKUP(A34,'Prime Freelance T3 2026'!$A$3:$E$32,5,FALSE)),0,VLOOKUP(A34,'Prime Freelance T3 2026'!$A$3:$E$32,5,FALSE))</f>
        <v>0</v>
      </c>
      <c r="G34" s="35"/>
      <c r="H34" s="40">
        <f>IF(ISNA(VLOOKUP(A34,'Prime Freelance T4 2026'!$A$4:$F$36,4,FALSE)),0,VLOOKUP(A34,'Prime Freelance T4 2026'!$A$4:$F$36,4,FALSE))</f>
        <v>0</v>
      </c>
      <c r="I34" s="35"/>
      <c r="J34" s="22">
        <f t="shared" ref="J34:K34" si="29">B34+D34+F34+H34</f>
        <v>819</v>
      </c>
      <c r="K34" s="22">
        <f t="shared" si="29"/>
        <v>0</v>
      </c>
      <c r="M34" s="22"/>
    </row>
    <row r="35">
      <c r="A35" s="20" t="s">
        <v>48</v>
      </c>
      <c r="B35" s="36">
        <f>IF(ISNA(VLOOKUP($A35,'Prime Freelance T1 2026'!$A$3:$F$42,5,FALSE)),0,VLOOKUP($A35,'Prime Freelance T1 2026'!$A$3:$F$42,5,FALSE))</f>
        <v>2142.05</v>
      </c>
      <c r="C35" s="35"/>
      <c r="D35" s="40">
        <f>IF(ISNA(VLOOKUP(A35,'Prime Freelance T2 2026'!$A$3:$H$38,6,FALSE)),0,VLOOKUP(A35,'Prime Freelance T2 2026'!$A$3:$H$38,6,FALSE))</f>
        <v>2034.85</v>
      </c>
      <c r="E35" s="40"/>
      <c r="F35" s="40">
        <f>IF(ISNA(VLOOKUP(A35,'Prime Freelance T3 2026'!$A$3:$E$32,5,FALSE)),0,VLOOKUP(A35,'Prime Freelance T3 2026'!$A$3:$E$32,5,FALSE))</f>
        <v>0</v>
      </c>
      <c r="G35" s="35"/>
      <c r="H35" s="40">
        <f>IF(ISNA(VLOOKUP(A35,'Prime Freelance T4 2026'!$A$4:$F$36,4,FALSE)),0,VLOOKUP(A35,'Prime Freelance T4 2026'!$A$4:$F$36,4,FALSE))</f>
        <v>0</v>
      </c>
      <c r="I35" s="35"/>
      <c r="J35" s="22">
        <f t="shared" ref="J35:K35" si="30">B35+D35+F35+H35</f>
        <v>4176.9</v>
      </c>
      <c r="K35" s="22">
        <f t="shared" si="30"/>
        <v>0</v>
      </c>
      <c r="M35" s="22"/>
    </row>
    <row r="36">
      <c r="A36" s="20" t="s">
        <v>49</v>
      </c>
      <c r="B36" s="36">
        <f>IF(ISNA(VLOOKUP($A36,'Prime Freelance T1 2026'!$A$3:$F$42,5,FALSE)),0,VLOOKUP($A36,'Prime Freelance T1 2026'!$A$3:$F$42,5,FALSE))</f>
        <v>1008</v>
      </c>
      <c r="C36" s="35"/>
      <c r="D36" s="40">
        <f>IF(ISNA(VLOOKUP(A36,'Prime Freelance T2 2026'!$A$3:$H$38,6,FALSE)),0,VLOOKUP(A36,'Prime Freelance T2 2026'!$A$3:$H$38,6,FALSE))</f>
        <v>1008</v>
      </c>
      <c r="E36" s="40"/>
      <c r="F36" s="40">
        <f>IF(ISNA(VLOOKUP(A36,'Prime Freelance T3 2026'!$A$3:$E$32,5,FALSE)),0,VLOOKUP(A36,'Prime Freelance T3 2026'!$A$3:$E$32,5,FALSE))</f>
        <v>0</v>
      </c>
      <c r="G36" s="40"/>
      <c r="H36" s="40">
        <f>IF(ISNA(VLOOKUP(A36,'Prime Freelance T4 2026'!$A$4:$F$36,4,FALSE)),0,VLOOKUP(A36,'Prime Freelance T4 2026'!$A$4:$F$36,4,FALSE))</f>
        <v>0</v>
      </c>
      <c r="I36" s="40"/>
      <c r="J36" s="22">
        <f t="shared" ref="J36:K36" si="31">B36+D36+F36+H36</f>
        <v>2016</v>
      </c>
      <c r="K36" s="22">
        <f t="shared" si="31"/>
        <v>0</v>
      </c>
      <c r="M36" s="72"/>
    </row>
    <row r="37">
      <c r="A37" s="20"/>
      <c r="B37" s="36">
        <f>IF(ISNA(VLOOKUP($A37,'Prime Freelance T1 2026'!$A$3:$F$42,5,FALSE)),0,VLOOKUP($A37,'Prime Freelance T1 2026'!$A$3:$F$42,5,FALSE))</f>
        <v>0</v>
      </c>
      <c r="C37" s="35"/>
      <c r="D37" s="40">
        <f>IF(ISNA(VLOOKUP(A37,'Prime Freelance T2 2026'!$A$3:$H$38,6,FALSE)),0,VLOOKUP(A37,'Prime Freelance T2 2026'!$A$3:$H$38,6,FALSE))</f>
        <v>0</v>
      </c>
      <c r="E37" s="40"/>
      <c r="F37" s="40">
        <f>IF(ISNA(VLOOKUP(A37,'Prime Freelance T3 2026'!$A$3:$E$32,5,FALSE)),0,VLOOKUP(A37,'Prime Freelance T3 2026'!$A$3:$E$32,5,FALSE))</f>
        <v>0</v>
      </c>
      <c r="G37" s="40"/>
      <c r="H37" s="40">
        <f>IF(ISNA(VLOOKUP(A37,'Prime Freelance T4 2026'!$A$4:$F$36,4,FALSE)),0,VLOOKUP(A37,'Prime Freelance T4 2026'!$A$4:$F$36,4,FALSE))</f>
        <v>0</v>
      </c>
      <c r="I37" s="40"/>
      <c r="J37" s="22">
        <f t="shared" ref="J37:K37" si="32">B37+D37+F37+H37</f>
        <v>0</v>
      </c>
      <c r="K37" s="22">
        <f t="shared" si="32"/>
        <v>0</v>
      </c>
      <c r="M37" s="72"/>
    </row>
    <row r="38">
      <c r="A38" s="20"/>
      <c r="B38" s="36">
        <f>IF(ISNA(VLOOKUP($A38,'Prime Freelance T1 2026'!$A$3:$F$42,5,FALSE)),0,VLOOKUP($A38,'Prime Freelance T1 2026'!$A$3:$F$42,5,FALSE))</f>
        <v>0</v>
      </c>
      <c r="C38" s="35"/>
      <c r="D38" s="40">
        <f>IF(ISNA(VLOOKUP(A38,'Prime Freelance T2 2026'!$A$3:$H$38,6,FALSE)),0,VLOOKUP(A38,'Prime Freelance T2 2026'!$A$3:$H$38,6,FALSE))</f>
        <v>0</v>
      </c>
      <c r="E38" s="40"/>
      <c r="F38" s="40">
        <f>IF(ISNA(VLOOKUP(A38,'Prime Freelance T3 2026'!$A$3:$E$32,5,FALSE)),0,VLOOKUP(A38,'Prime Freelance T3 2026'!$A$3:$E$32,5,FALSE))</f>
        <v>0</v>
      </c>
      <c r="G38" s="35"/>
      <c r="H38" s="40">
        <f>IF(ISNA(VLOOKUP(A38,'Prime Freelance T4 2026'!$A$4:$F$36,4,FALSE)),0,VLOOKUP(A38,'Prime Freelance T4 2026'!$A$4:$F$36,4,FALSE))</f>
        <v>0</v>
      </c>
      <c r="I38" s="40"/>
      <c r="J38" s="22">
        <f t="shared" ref="J38:K38" si="33">B38+D38+F38+H38</f>
        <v>0</v>
      </c>
      <c r="K38" s="22">
        <f t="shared" si="33"/>
        <v>0</v>
      </c>
      <c r="M38" s="22"/>
    </row>
    <row r="39">
      <c r="A39" s="20"/>
      <c r="B39" s="36">
        <f>IF(ISNA(VLOOKUP($A39,'Prime Freelance T1 2026'!$A$3:$F$42,5,FALSE)),0,VLOOKUP($A39,'Prime Freelance T1 2026'!$A$3:$F$42,5,FALSE))</f>
        <v>0</v>
      </c>
      <c r="C39" s="35"/>
      <c r="D39" s="40">
        <f>IF(ISNA(VLOOKUP(A39,'Prime Freelance T2 2026'!$A$3:$H$38,6,FALSE)),0,VLOOKUP(A39,'Prime Freelance T2 2026'!$A$3:$H$38,6,FALSE))</f>
        <v>0</v>
      </c>
      <c r="E39" s="40"/>
      <c r="F39" s="40">
        <f>IF(ISNA(VLOOKUP(A39,'Prime Freelance T3 2026'!$A$3:$E$32,5,FALSE)),0,VLOOKUP(A39,'Prime Freelance T3 2026'!$A$3:$E$32,5,FALSE))</f>
        <v>0</v>
      </c>
      <c r="G39" s="35"/>
      <c r="H39" s="40">
        <f>IF(ISNA(VLOOKUP(A39,'Prime Freelance T4 2026'!$A$4:$F$36,4,FALSE)),0,VLOOKUP(A39,'Prime Freelance T4 2026'!$A$4:$F$36,4,FALSE))</f>
        <v>0</v>
      </c>
      <c r="I39" s="40"/>
      <c r="J39" s="22">
        <f t="shared" ref="J39:K39" si="34">B39+D39+F39+H39</f>
        <v>0</v>
      </c>
      <c r="K39" s="22">
        <f t="shared" si="34"/>
        <v>0</v>
      </c>
      <c r="M39" s="22"/>
    </row>
    <row r="40">
      <c r="A40" s="73" t="s">
        <v>11</v>
      </c>
      <c r="B40" s="74">
        <f>SUM(B6:B39)</f>
        <v>152559.29</v>
      </c>
      <c r="C40" s="75">
        <f>SUM(C7:C39)</f>
        <v>0</v>
      </c>
      <c r="D40" s="75">
        <f>SUM(D6:D39)</f>
        <v>157149.51</v>
      </c>
      <c r="E40" s="75">
        <f>SUM(E7:E39)</f>
        <v>0</v>
      </c>
      <c r="F40" s="75">
        <f>SUM(F6:F39)</f>
        <v>0</v>
      </c>
      <c r="G40" s="75">
        <f>SUM(G7:G39)</f>
        <v>0</v>
      </c>
      <c r="H40" s="75">
        <f>SUM(H6:H39)</f>
        <v>0</v>
      </c>
      <c r="I40" s="75">
        <f>SUM(I7:I39)</f>
        <v>0</v>
      </c>
      <c r="J40" s="75">
        <f t="shared" ref="J40:K40" si="35">B40+D40+F40+H40</f>
        <v>309708.8</v>
      </c>
      <c r="K40" s="75">
        <f t="shared" si="35"/>
        <v>0</v>
      </c>
    </row>
  </sheetData>
  <mergeCells count="6">
    <mergeCell ref="A4:A5"/>
    <mergeCell ref="B4:C4"/>
    <mergeCell ref="D4:E4"/>
    <mergeCell ref="F4:G4"/>
    <mergeCell ref="H4:I4"/>
    <mergeCell ref="J4:K4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4.75"/>
    <col customWidth="1" min="2" max="2" width="31.75"/>
    <col customWidth="1" min="3" max="3" width="29.75"/>
    <col customWidth="1" min="4" max="4" width="16.88"/>
    <col customWidth="1" min="5" max="5" width="23.63"/>
    <col customWidth="1" min="6" max="7" width="19.75"/>
    <col customWidth="1" min="8" max="8" width="14.5"/>
    <col customWidth="1" min="9" max="9" width="26.63"/>
    <col customWidth="1" min="10" max="10" width="25.63"/>
    <col customWidth="1" min="12" max="12" width="38.25"/>
    <col customWidth="1" min="13" max="13" width="24.88"/>
  </cols>
  <sheetData>
    <row r="1">
      <c r="A1" s="2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5"/>
      <c r="C2" s="5"/>
      <c r="D2" s="3"/>
      <c r="E2" s="7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9" t="s">
        <v>3</v>
      </c>
      <c r="B3" s="11" t="s">
        <v>4</v>
      </c>
      <c r="C3" s="9" t="s">
        <v>6</v>
      </c>
      <c r="D3" s="13" t="s">
        <v>7</v>
      </c>
      <c r="E3" s="15" t="s">
        <v>11</v>
      </c>
      <c r="F3" s="1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20" t="s">
        <v>13</v>
      </c>
      <c r="B4" s="21">
        <v>1093.0</v>
      </c>
      <c r="C4" s="21">
        <v>870.0</v>
      </c>
      <c r="D4" s="22"/>
      <c r="E4" s="24">
        <f t="shared" ref="E4:E34" si="1">SUM(B4:D4)</f>
        <v>1963</v>
      </c>
      <c r="F4" s="25"/>
      <c r="G4" s="26"/>
    </row>
    <row r="5">
      <c r="A5" s="20" t="s">
        <v>15</v>
      </c>
      <c r="B5" s="21">
        <v>39789.1</v>
      </c>
      <c r="C5" s="21">
        <v>1160.0</v>
      </c>
      <c r="D5" s="27">
        <v>-512.0</v>
      </c>
      <c r="E5" s="24">
        <f t="shared" si="1"/>
        <v>40437.1</v>
      </c>
      <c r="F5" s="25"/>
      <c r="G5" s="26"/>
    </row>
    <row r="6">
      <c r="A6" s="20" t="s">
        <v>17</v>
      </c>
      <c r="B6" s="21">
        <v>12505.3</v>
      </c>
      <c r="C6" s="21">
        <v>870.0</v>
      </c>
      <c r="D6" s="22"/>
      <c r="E6" s="24">
        <f t="shared" si="1"/>
        <v>13375.3</v>
      </c>
      <c r="F6" s="25"/>
      <c r="G6" s="26"/>
    </row>
    <row r="7">
      <c r="A7" s="20" t="s">
        <v>19</v>
      </c>
      <c r="B7" s="21">
        <v>915.0</v>
      </c>
      <c r="C7" s="21"/>
      <c r="D7" s="22"/>
      <c r="E7" s="22">
        <f t="shared" si="1"/>
        <v>915</v>
      </c>
      <c r="F7" s="25"/>
      <c r="G7" s="26"/>
    </row>
    <row r="8">
      <c r="A8" s="20" t="s">
        <v>21</v>
      </c>
      <c r="B8" s="21">
        <v>1160.0</v>
      </c>
      <c r="C8" s="21"/>
      <c r="D8" s="22"/>
      <c r="E8" s="22">
        <f t="shared" si="1"/>
        <v>1160</v>
      </c>
      <c r="F8" s="25"/>
      <c r="G8" s="26"/>
    </row>
    <row r="9">
      <c r="A9" s="20" t="s">
        <v>22</v>
      </c>
      <c r="B9" s="21">
        <v>2439.09</v>
      </c>
      <c r="C9" s="21"/>
      <c r="D9" s="22"/>
      <c r="E9" s="24">
        <f t="shared" si="1"/>
        <v>2439.09</v>
      </c>
      <c r="F9" s="25"/>
      <c r="G9" s="26"/>
    </row>
    <row r="10">
      <c r="A10" s="20" t="s">
        <v>23</v>
      </c>
      <c r="B10" s="21">
        <v>8844.8</v>
      </c>
      <c r="C10" s="21">
        <v>870.0</v>
      </c>
      <c r="D10" s="22"/>
      <c r="E10" s="33">
        <f t="shared" si="1"/>
        <v>9714.8</v>
      </c>
      <c r="F10" s="25"/>
      <c r="G10" s="26"/>
    </row>
    <row r="11">
      <c r="A11" s="20" t="s">
        <v>24</v>
      </c>
      <c r="B11" s="21">
        <v>507.6</v>
      </c>
      <c r="C11" s="21"/>
      <c r="D11" s="22"/>
      <c r="E11" s="22">
        <f t="shared" si="1"/>
        <v>507.6</v>
      </c>
      <c r="F11" s="25"/>
      <c r="G11" s="26"/>
    </row>
    <row r="12">
      <c r="A12" s="20" t="s">
        <v>25</v>
      </c>
      <c r="B12" s="21">
        <v>1669.75</v>
      </c>
      <c r="C12" s="21"/>
      <c r="D12" s="22"/>
      <c r="E12" s="24">
        <f t="shared" si="1"/>
        <v>1669.75</v>
      </c>
      <c r="F12" s="25"/>
      <c r="G12" s="26"/>
    </row>
    <row r="13">
      <c r="A13" s="20" t="s">
        <v>26</v>
      </c>
      <c r="B13" s="35">
        <v>11905.55</v>
      </c>
      <c r="C13" s="21"/>
      <c r="D13" s="35"/>
      <c r="E13" s="22">
        <f t="shared" si="1"/>
        <v>11905.55</v>
      </c>
      <c r="F13" s="25"/>
      <c r="G13" s="26"/>
    </row>
    <row r="14">
      <c r="A14" s="20" t="s">
        <v>27</v>
      </c>
      <c r="B14" s="21"/>
      <c r="C14" s="21">
        <v>290.0</v>
      </c>
      <c r="D14" s="22"/>
      <c r="E14" s="22">
        <f t="shared" si="1"/>
        <v>290</v>
      </c>
      <c r="F14" s="25"/>
      <c r="G14" s="26"/>
    </row>
    <row r="15">
      <c r="A15" s="20" t="s">
        <v>28</v>
      </c>
      <c r="B15" s="21">
        <v>21603.0</v>
      </c>
      <c r="C15" s="21">
        <v>818.22</v>
      </c>
      <c r="D15" s="22"/>
      <c r="E15" s="24">
        <f t="shared" si="1"/>
        <v>22421.22</v>
      </c>
      <c r="F15" s="25"/>
      <c r="G15" s="26"/>
    </row>
    <row r="16">
      <c r="A16" s="20" t="s">
        <v>29</v>
      </c>
      <c r="B16" s="21">
        <v>44.7</v>
      </c>
      <c r="C16" s="36"/>
      <c r="D16" s="22"/>
      <c r="E16" s="22">
        <f t="shared" si="1"/>
        <v>44.7</v>
      </c>
      <c r="F16" s="25"/>
      <c r="G16" s="26"/>
    </row>
    <row r="17">
      <c r="A17" s="20" t="s">
        <v>30</v>
      </c>
      <c r="B17" s="21"/>
      <c r="C17" s="21">
        <v>739.03</v>
      </c>
      <c r="D17" s="22"/>
      <c r="E17" s="22">
        <f t="shared" si="1"/>
        <v>739.03</v>
      </c>
      <c r="F17" s="25"/>
      <c r="G17" s="26"/>
    </row>
    <row r="18">
      <c r="A18" s="20" t="s">
        <v>31</v>
      </c>
      <c r="B18" s="21">
        <v>12078.8</v>
      </c>
      <c r="C18" s="21">
        <v>1740.0</v>
      </c>
      <c r="D18" s="22"/>
      <c r="E18" s="33">
        <f t="shared" si="1"/>
        <v>13818.8</v>
      </c>
      <c r="F18" s="25"/>
      <c r="G18" s="26"/>
    </row>
    <row r="19">
      <c r="A19" s="20" t="s">
        <v>32</v>
      </c>
      <c r="B19" s="21">
        <v>882.0</v>
      </c>
      <c r="C19" s="36"/>
      <c r="D19" s="22"/>
      <c r="E19" s="33">
        <f t="shared" si="1"/>
        <v>882</v>
      </c>
      <c r="F19" s="25"/>
      <c r="G19" s="26"/>
    </row>
    <row r="20">
      <c r="A20" s="20" t="s">
        <v>33</v>
      </c>
      <c r="B20" s="21">
        <v>2064.0</v>
      </c>
      <c r="C20" s="21">
        <v>870.0</v>
      </c>
      <c r="D20" s="22"/>
      <c r="E20" s="33">
        <f t="shared" si="1"/>
        <v>2934</v>
      </c>
      <c r="F20" s="25"/>
      <c r="G20" s="26"/>
    </row>
    <row r="21">
      <c r="A21" s="20" t="s">
        <v>34</v>
      </c>
      <c r="B21" s="21">
        <v>2856.8</v>
      </c>
      <c r="C21" s="21"/>
      <c r="D21" s="27"/>
      <c r="E21" s="22">
        <f t="shared" si="1"/>
        <v>2856.8</v>
      </c>
      <c r="F21" s="25"/>
      <c r="G21" s="26"/>
    </row>
    <row r="22">
      <c r="A22" s="20" t="s">
        <v>35</v>
      </c>
      <c r="B22" s="21">
        <v>11212.35</v>
      </c>
      <c r="C22" s="21"/>
      <c r="D22" s="22"/>
      <c r="E22" s="33">
        <f t="shared" si="1"/>
        <v>11212.35</v>
      </c>
      <c r="F22" s="25"/>
      <c r="G22" s="26"/>
    </row>
    <row r="23">
      <c r="A23" s="20" t="s">
        <v>37</v>
      </c>
      <c r="B23" s="21"/>
      <c r="C23" s="21">
        <v>168.39</v>
      </c>
      <c r="D23" s="22"/>
      <c r="E23" s="22">
        <f t="shared" si="1"/>
        <v>168.39</v>
      </c>
      <c r="F23" s="25"/>
      <c r="G23" s="26"/>
    </row>
    <row r="24">
      <c r="A24" s="20" t="s">
        <v>38</v>
      </c>
      <c r="B24" s="21">
        <v>702.7</v>
      </c>
      <c r="C24" s="21"/>
      <c r="D24" s="22"/>
      <c r="E24" s="22">
        <f t="shared" si="1"/>
        <v>702.7</v>
      </c>
      <c r="F24" s="25"/>
      <c r="G24" s="26"/>
    </row>
    <row r="25">
      <c r="A25" s="20" t="s">
        <v>39</v>
      </c>
      <c r="B25" s="21">
        <v>928.0</v>
      </c>
      <c r="C25" s="36"/>
      <c r="D25" s="22"/>
      <c r="E25" s="22">
        <f t="shared" si="1"/>
        <v>928</v>
      </c>
      <c r="F25" s="25"/>
      <c r="G25" s="26"/>
    </row>
    <row r="26">
      <c r="A26" s="20" t="s">
        <v>40</v>
      </c>
      <c r="B26" s="21">
        <v>620.0</v>
      </c>
      <c r="C26" s="36"/>
      <c r="D26" s="22"/>
      <c r="E26" s="22">
        <f t="shared" si="1"/>
        <v>620</v>
      </c>
      <c r="F26" s="25"/>
      <c r="G26" s="26"/>
    </row>
    <row r="27">
      <c r="A27" s="20" t="s">
        <v>41</v>
      </c>
      <c r="B27" s="21">
        <v>243.2</v>
      </c>
      <c r="C27" s="21">
        <v>290.0</v>
      </c>
      <c r="D27" s="22"/>
      <c r="E27" s="22">
        <f t="shared" si="1"/>
        <v>533.2</v>
      </c>
      <c r="F27" s="25"/>
      <c r="G27" s="26"/>
    </row>
    <row r="28">
      <c r="A28" s="20" t="s">
        <v>42</v>
      </c>
      <c r="B28" s="21">
        <v>820.2</v>
      </c>
      <c r="C28" s="36"/>
      <c r="D28" s="22"/>
      <c r="E28" s="33">
        <f t="shared" si="1"/>
        <v>820.2</v>
      </c>
      <c r="F28" s="25"/>
      <c r="G28" s="26"/>
    </row>
    <row r="29">
      <c r="A29" s="20" t="s">
        <v>43</v>
      </c>
      <c r="B29" s="21">
        <v>1376.95</v>
      </c>
      <c r="C29" s="21">
        <v>692.26</v>
      </c>
      <c r="D29" s="27">
        <v>512.0</v>
      </c>
      <c r="E29" s="33">
        <f t="shared" si="1"/>
        <v>2581.21</v>
      </c>
      <c r="F29" s="25"/>
      <c r="G29" s="26"/>
    </row>
    <row r="30">
      <c r="A30" s="20" t="s">
        <v>44</v>
      </c>
      <c r="B30" s="21">
        <v>2398.45</v>
      </c>
      <c r="C30" s="21"/>
      <c r="D30" s="22"/>
      <c r="E30" s="22">
        <f t="shared" si="1"/>
        <v>2398.45</v>
      </c>
      <c r="F30" s="25"/>
      <c r="G30" s="26"/>
    </row>
    <row r="31">
      <c r="A31" s="20" t="s">
        <v>45</v>
      </c>
      <c r="B31" s="21">
        <v>708.0</v>
      </c>
      <c r="C31" s="21"/>
      <c r="D31" s="22"/>
      <c r="E31" s="22">
        <f t="shared" si="1"/>
        <v>708</v>
      </c>
      <c r="F31" s="25"/>
      <c r="G31" s="26"/>
    </row>
    <row r="32">
      <c r="A32" s="20" t="s">
        <v>46</v>
      </c>
      <c r="B32" s="21">
        <v>663.0</v>
      </c>
      <c r="C32" s="36"/>
      <c r="D32" s="22"/>
      <c r="E32" s="24">
        <f t="shared" si="1"/>
        <v>663</v>
      </c>
      <c r="F32" s="25"/>
      <c r="G32" s="26"/>
    </row>
    <row r="33">
      <c r="A33" s="20" t="s">
        <v>48</v>
      </c>
      <c r="B33" s="21">
        <v>2142.05</v>
      </c>
      <c r="C33" s="36"/>
      <c r="D33" s="22"/>
      <c r="E33" s="22">
        <f t="shared" si="1"/>
        <v>2142.05</v>
      </c>
      <c r="F33" s="25"/>
      <c r="G33" s="26"/>
    </row>
    <row r="34">
      <c r="A34" s="20" t="s">
        <v>49</v>
      </c>
      <c r="B34" s="21">
        <v>1008.0</v>
      </c>
      <c r="C34" s="36"/>
      <c r="D34" s="22"/>
      <c r="E34" s="22">
        <f t="shared" si="1"/>
        <v>1008</v>
      </c>
      <c r="F34" s="25"/>
      <c r="G34" s="26"/>
    </row>
    <row r="35">
      <c r="A35" s="46" t="s">
        <v>11</v>
      </c>
      <c r="B35" s="48">
        <f t="shared" ref="B35:E35" si="2">SUM(B4:B34)</f>
        <v>143181.39</v>
      </c>
      <c r="C35" s="48">
        <f t="shared" si="2"/>
        <v>9377.9</v>
      </c>
      <c r="D35" s="48">
        <f t="shared" si="2"/>
        <v>0</v>
      </c>
      <c r="E35" s="22">
        <f t="shared" si="2"/>
        <v>152559.29</v>
      </c>
      <c r="F35" s="25"/>
      <c r="G35" s="26"/>
    </row>
    <row r="36">
      <c r="F36" s="25"/>
      <c r="G36" s="26"/>
    </row>
    <row r="37">
      <c r="G37" s="26"/>
    </row>
    <row r="41">
      <c r="A41" s="49" t="s">
        <v>50</v>
      </c>
      <c r="B41" s="49" t="s">
        <v>51</v>
      </c>
      <c r="C41" s="49" t="s">
        <v>52</v>
      </c>
      <c r="D41" s="49" t="s">
        <v>53</v>
      </c>
      <c r="E41" s="50" t="s">
        <v>54</v>
      </c>
      <c r="F41" s="49" t="s">
        <v>55</v>
      </c>
      <c r="G41" s="49" t="s">
        <v>56</v>
      </c>
      <c r="H41" s="49" t="s">
        <v>57</v>
      </c>
      <c r="I41" s="50" t="s">
        <v>58</v>
      </c>
    </row>
    <row r="42" ht="20.25" customHeight="1">
      <c r="A42" s="20">
        <v>2026.0</v>
      </c>
      <c r="B42" s="20">
        <v>1.0</v>
      </c>
      <c r="C42" s="52" t="s">
        <v>59</v>
      </c>
      <c r="D42" s="20" t="s">
        <v>60</v>
      </c>
      <c r="E42" s="20" t="s">
        <v>28</v>
      </c>
      <c r="F42" s="20" t="s">
        <v>61</v>
      </c>
      <c r="G42" s="20">
        <v>16.0</v>
      </c>
      <c r="H42" s="20">
        <v>12.5</v>
      </c>
      <c r="I42" s="20">
        <v>200.0</v>
      </c>
    </row>
    <row r="43">
      <c r="A43" s="20">
        <v>2026.0</v>
      </c>
      <c r="B43" s="20">
        <v>2.0</v>
      </c>
      <c r="C43" s="52" t="s">
        <v>59</v>
      </c>
      <c r="D43" s="20" t="s">
        <v>60</v>
      </c>
      <c r="E43" s="20" t="s">
        <v>28</v>
      </c>
      <c r="F43" s="20" t="s">
        <v>61</v>
      </c>
      <c r="G43" s="20">
        <v>17.5</v>
      </c>
      <c r="H43" s="20">
        <v>12.5</v>
      </c>
      <c r="I43" s="20">
        <v>218.75</v>
      </c>
    </row>
    <row r="44">
      <c r="A44" s="20">
        <v>2026.0</v>
      </c>
      <c r="B44" s="20">
        <v>3.0</v>
      </c>
      <c r="C44" s="52" t="s">
        <v>59</v>
      </c>
      <c r="D44" s="20" t="s">
        <v>60</v>
      </c>
      <c r="E44" s="20" t="s">
        <v>28</v>
      </c>
      <c r="F44" s="20" t="s">
        <v>61</v>
      </c>
      <c r="G44" s="20">
        <v>20.5</v>
      </c>
      <c r="H44" s="20">
        <v>12.5</v>
      </c>
      <c r="I44" s="20">
        <v>256.25</v>
      </c>
    </row>
    <row r="45">
      <c r="A45" s="20">
        <v>2026.0</v>
      </c>
      <c r="B45" s="20">
        <v>1.0</v>
      </c>
      <c r="C45" s="52" t="s">
        <v>62</v>
      </c>
      <c r="D45" s="20" t="s">
        <v>63</v>
      </c>
      <c r="E45" s="20" t="s">
        <v>15</v>
      </c>
      <c r="F45" s="20" t="s">
        <v>61</v>
      </c>
      <c r="G45" s="20">
        <v>17.0</v>
      </c>
      <c r="H45" s="20">
        <v>25.5</v>
      </c>
      <c r="I45" s="53">
        <v>433.5</v>
      </c>
    </row>
    <row r="46">
      <c r="A46" s="20">
        <v>2026.0</v>
      </c>
      <c r="B46" s="20">
        <v>1.0</v>
      </c>
      <c r="C46" s="52" t="s">
        <v>62</v>
      </c>
      <c r="D46" s="20" t="s">
        <v>63</v>
      </c>
      <c r="E46" s="20" t="s">
        <v>35</v>
      </c>
      <c r="F46" s="20" t="s">
        <v>61</v>
      </c>
      <c r="G46" s="20">
        <v>17.0</v>
      </c>
      <c r="H46" s="20">
        <v>5.9</v>
      </c>
      <c r="I46" s="20">
        <v>100.3</v>
      </c>
    </row>
    <row r="47">
      <c r="A47" s="20">
        <v>2026.0</v>
      </c>
      <c r="B47" s="20">
        <v>2.0</v>
      </c>
      <c r="C47" s="52" t="s">
        <v>62</v>
      </c>
      <c r="D47" s="20" t="s">
        <v>63</v>
      </c>
      <c r="E47" s="20" t="s">
        <v>15</v>
      </c>
      <c r="F47" s="20" t="s">
        <v>61</v>
      </c>
      <c r="G47" s="20">
        <v>14.5</v>
      </c>
      <c r="H47" s="20">
        <v>25.5</v>
      </c>
      <c r="I47" s="20">
        <v>369.75</v>
      </c>
    </row>
    <row r="48">
      <c r="A48" s="20">
        <v>2026.0</v>
      </c>
      <c r="B48" s="20">
        <v>2.0</v>
      </c>
      <c r="C48" s="52" t="s">
        <v>62</v>
      </c>
      <c r="D48" s="20" t="s">
        <v>63</v>
      </c>
      <c r="E48" s="20" t="s">
        <v>35</v>
      </c>
      <c r="F48" s="20" t="s">
        <v>61</v>
      </c>
      <c r="G48" s="20">
        <v>14.5</v>
      </c>
      <c r="H48" s="20">
        <v>5.9</v>
      </c>
      <c r="I48" s="20">
        <v>85.55</v>
      </c>
    </row>
    <row r="49">
      <c r="A49" s="20">
        <v>2026.0</v>
      </c>
      <c r="B49" s="20">
        <v>3.0</v>
      </c>
      <c r="C49" s="52" t="s">
        <v>62</v>
      </c>
      <c r="D49" s="20" t="s">
        <v>63</v>
      </c>
      <c r="E49" s="20" t="s">
        <v>15</v>
      </c>
      <c r="F49" s="20" t="s">
        <v>61</v>
      </c>
      <c r="G49" s="20">
        <v>5.0</v>
      </c>
      <c r="H49" s="20">
        <v>25.5</v>
      </c>
      <c r="I49" s="20">
        <v>127.5</v>
      </c>
    </row>
    <row r="50">
      <c r="A50" s="20">
        <v>2026.0</v>
      </c>
      <c r="B50" s="20">
        <v>3.0</v>
      </c>
      <c r="C50" s="52" t="s">
        <v>62</v>
      </c>
      <c r="D50" s="20" t="s">
        <v>63</v>
      </c>
      <c r="E50" s="20" t="s">
        <v>35</v>
      </c>
      <c r="F50" s="20" t="s">
        <v>61</v>
      </c>
      <c r="G50" s="20">
        <v>5.0</v>
      </c>
      <c r="H50" s="20">
        <v>5.9</v>
      </c>
      <c r="I50" s="20">
        <v>29.5</v>
      </c>
    </row>
    <row r="51">
      <c r="A51" s="20">
        <v>2026.0</v>
      </c>
      <c r="B51" s="20">
        <v>1.0</v>
      </c>
      <c r="C51" s="52" t="s">
        <v>64</v>
      </c>
      <c r="D51" s="20" t="s">
        <v>65</v>
      </c>
      <c r="E51" s="20" t="s">
        <v>15</v>
      </c>
      <c r="F51" s="20" t="s">
        <v>61</v>
      </c>
      <c r="G51" s="20">
        <v>14.5</v>
      </c>
      <c r="H51" s="20">
        <v>42.6</v>
      </c>
      <c r="I51" s="20">
        <v>617.7</v>
      </c>
    </row>
    <row r="52">
      <c r="A52" s="20">
        <v>2026.0</v>
      </c>
      <c r="B52" s="20">
        <v>2.0</v>
      </c>
      <c r="C52" s="52" t="s">
        <v>64</v>
      </c>
      <c r="D52" s="20" t="s">
        <v>65</v>
      </c>
      <c r="E52" s="20" t="s">
        <v>15</v>
      </c>
      <c r="F52" s="20" t="s">
        <v>61</v>
      </c>
      <c r="G52" s="20">
        <v>8.0</v>
      </c>
      <c r="H52" s="20">
        <v>42.6</v>
      </c>
      <c r="I52" s="20">
        <v>340.8</v>
      </c>
    </row>
    <row r="53">
      <c r="A53" s="20">
        <v>2026.0</v>
      </c>
      <c r="B53" s="20">
        <v>2.0</v>
      </c>
      <c r="C53" s="52" t="s">
        <v>64</v>
      </c>
      <c r="D53" s="20" t="s">
        <v>65</v>
      </c>
      <c r="E53" s="20" t="s">
        <v>15</v>
      </c>
      <c r="F53" s="20" t="s">
        <v>61</v>
      </c>
      <c r="G53" s="20">
        <v>12.0</v>
      </c>
      <c r="H53" s="20">
        <v>42.6</v>
      </c>
      <c r="I53" s="20">
        <v>511.2</v>
      </c>
    </row>
    <row r="54">
      <c r="A54" s="20">
        <v>2026.0</v>
      </c>
      <c r="B54" s="20">
        <v>3.0</v>
      </c>
      <c r="C54" s="52" t="s">
        <v>64</v>
      </c>
      <c r="D54" s="20" t="s">
        <v>65</v>
      </c>
      <c r="E54" s="20" t="s">
        <v>15</v>
      </c>
      <c r="F54" s="20" t="s">
        <v>61</v>
      </c>
      <c r="G54" s="20">
        <v>18.5</v>
      </c>
      <c r="H54" s="20">
        <v>42.6</v>
      </c>
      <c r="I54" s="20">
        <v>788.1</v>
      </c>
    </row>
    <row r="55">
      <c r="A55" s="20">
        <v>2026.0</v>
      </c>
      <c r="B55" s="20">
        <v>3.0</v>
      </c>
      <c r="C55" s="52" t="s">
        <v>71</v>
      </c>
      <c r="D55" s="20" t="s">
        <v>13</v>
      </c>
      <c r="E55" s="20" t="s">
        <v>17</v>
      </c>
      <c r="F55" s="20" t="s">
        <v>61</v>
      </c>
      <c r="G55" s="20">
        <v>21.5</v>
      </c>
      <c r="H55" s="20">
        <v>18.5</v>
      </c>
      <c r="I55" s="20">
        <v>397.75</v>
      </c>
    </row>
    <row r="56">
      <c r="A56" s="20">
        <v>2026.0</v>
      </c>
      <c r="B56" s="20">
        <v>1.0</v>
      </c>
      <c r="C56" s="52" t="s">
        <v>71</v>
      </c>
      <c r="D56" s="20" t="s">
        <v>13</v>
      </c>
      <c r="E56" s="20" t="s">
        <v>17</v>
      </c>
      <c r="F56" s="20" t="s">
        <v>61</v>
      </c>
      <c r="G56" s="20">
        <v>15.5</v>
      </c>
      <c r="H56" s="20">
        <v>18.5</v>
      </c>
      <c r="I56" s="20">
        <v>286.75</v>
      </c>
    </row>
    <row r="57">
      <c r="A57" s="20">
        <v>2026.0</v>
      </c>
      <c r="B57" s="20">
        <v>2.0</v>
      </c>
      <c r="C57" s="52" t="s">
        <v>71</v>
      </c>
      <c r="D57" s="20" t="s">
        <v>13</v>
      </c>
      <c r="E57" s="20" t="s">
        <v>17</v>
      </c>
      <c r="F57" s="20" t="s">
        <v>61</v>
      </c>
      <c r="G57" s="20">
        <v>19.0</v>
      </c>
      <c r="H57" s="20">
        <v>18.5</v>
      </c>
      <c r="I57" s="20">
        <v>351.5</v>
      </c>
    </row>
    <row r="58">
      <c r="A58" s="20">
        <v>2026.0</v>
      </c>
      <c r="B58" s="20">
        <v>1.0</v>
      </c>
      <c r="C58" s="52" t="s">
        <v>66</v>
      </c>
      <c r="D58" s="20" t="s">
        <v>67</v>
      </c>
      <c r="E58" s="20" t="s">
        <v>28</v>
      </c>
      <c r="F58" s="20" t="s">
        <v>61</v>
      </c>
      <c r="G58" s="20">
        <v>18.0</v>
      </c>
      <c r="H58" s="20">
        <v>28.7</v>
      </c>
      <c r="I58" s="20">
        <v>516.6</v>
      </c>
    </row>
    <row r="59">
      <c r="A59" s="20">
        <v>2026.0</v>
      </c>
      <c r="B59" s="20">
        <v>2.0</v>
      </c>
      <c r="C59" s="52" t="s">
        <v>66</v>
      </c>
      <c r="D59" s="20" t="s">
        <v>67</v>
      </c>
      <c r="E59" s="20" t="s">
        <v>28</v>
      </c>
      <c r="F59" s="20" t="s">
        <v>61</v>
      </c>
      <c r="G59" s="20">
        <v>18.0</v>
      </c>
      <c r="H59" s="20">
        <v>28.7</v>
      </c>
      <c r="I59" s="20">
        <v>516.6</v>
      </c>
    </row>
    <row r="60">
      <c r="A60" s="20">
        <v>2026.0</v>
      </c>
      <c r="B60" s="20">
        <v>3.0</v>
      </c>
      <c r="C60" s="52" t="s">
        <v>66</v>
      </c>
      <c r="D60" s="20" t="s">
        <v>67</v>
      </c>
      <c r="E60" s="20" t="s">
        <v>28</v>
      </c>
      <c r="F60" s="20" t="s">
        <v>61</v>
      </c>
      <c r="G60" s="20">
        <v>22.0</v>
      </c>
      <c r="H60" s="20">
        <v>28.7</v>
      </c>
      <c r="I60" s="20">
        <v>631.4</v>
      </c>
    </row>
    <row r="61">
      <c r="A61" s="20">
        <v>2026.0</v>
      </c>
      <c r="B61" s="20">
        <v>1.0</v>
      </c>
      <c r="C61" s="52" t="s">
        <v>76</v>
      </c>
      <c r="D61" s="20" t="s">
        <v>77</v>
      </c>
      <c r="E61" s="20" t="s">
        <v>17</v>
      </c>
      <c r="F61" s="20" t="s">
        <v>61</v>
      </c>
      <c r="G61" s="20">
        <v>5.0</v>
      </c>
      <c r="H61" s="20">
        <v>5.0</v>
      </c>
      <c r="I61" s="20">
        <v>25.0</v>
      </c>
    </row>
    <row r="62">
      <c r="A62" s="20">
        <v>2026.0</v>
      </c>
      <c r="B62" s="20">
        <v>2.0</v>
      </c>
      <c r="C62" s="52" t="s">
        <v>76</v>
      </c>
      <c r="D62" s="20" t="s">
        <v>77</v>
      </c>
      <c r="E62" s="20" t="s">
        <v>17</v>
      </c>
      <c r="F62" s="20" t="s">
        <v>61</v>
      </c>
      <c r="G62" s="20">
        <v>20.0</v>
      </c>
      <c r="H62" s="20">
        <v>5.0</v>
      </c>
      <c r="I62" s="20">
        <v>100.0</v>
      </c>
    </row>
    <row r="63">
      <c r="A63" s="20">
        <v>2026.0</v>
      </c>
      <c r="B63" s="20">
        <v>3.0</v>
      </c>
      <c r="C63" s="52" t="s">
        <v>76</v>
      </c>
      <c r="D63" s="20" t="s">
        <v>77</v>
      </c>
      <c r="E63" s="20" t="s">
        <v>17</v>
      </c>
      <c r="F63" s="20" t="s">
        <v>61</v>
      </c>
      <c r="G63" s="20">
        <v>22.0</v>
      </c>
      <c r="H63" s="20">
        <v>5.0</v>
      </c>
      <c r="I63" s="20">
        <v>110.0</v>
      </c>
    </row>
    <row r="64">
      <c r="A64" s="20">
        <v>2026.0</v>
      </c>
      <c r="B64" s="20">
        <v>1.0</v>
      </c>
      <c r="C64" s="52" t="s">
        <v>72</v>
      </c>
      <c r="D64" s="20" t="s">
        <v>73</v>
      </c>
      <c r="E64" s="20" t="s">
        <v>17</v>
      </c>
      <c r="F64" s="20" t="s">
        <v>61</v>
      </c>
      <c r="G64" s="20">
        <v>17.5</v>
      </c>
      <c r="H64" s="20">
        <v>6.4</v>
      </c>
      <c r="I64" s="20">
        <v>112.0</v>
      </c>
    </row>
    <row r="65">
      <c r="A65" s="20">
        <v>2026.0</v>
      </c>
      <c r="B65" s="20">
        <v>2.0</v>
      </c>
      <c r="C65" s="52" t="s">
        <v>72</v>
      </c>
      <c r="D65" s="20" t="s">
        <v>73</v>
      </c>
      <c r="E65" s="20" t="s">
        <v>17</v>
      </c>
      <c r="F65" s="20" t="s">
        <v>61</v>
      </c>
      <c r="G65" s="20">
        <v>19.0</v>
      </c>
      <c r="H65" s="20">
        <v>6.4</v>
      </c>
      <c r="I65" s="20">
        <v>121.6</v>
      </c>
    </row>
    <row r="66">
      <c r="A66" s="20">
        <v>2026.0</v>
      </c>
      <c r="B66" s="20">
        <v>3.0</v>
      </c>
      <c r="C66" s="52" t="s">
        <v>72</v>
      </c>
      <c r="D66" s="20" t="s">
        <v>73</v>
      </c>
      <c r="E66" s="20" t="s">
        <v>13</v>
      </c>
      <c r="F66" s="20" t="s">
        <v>61</v>
      </c>
      <c r="G66" s="20">
        <v>16.0</v>
      </c>
      <c r="H66" s="20">
        <v>25.8</v>
      </c>
      <c r="I66" s="20">
        <v>412.8</v>
      </c>
    </row>
    <row r="67">
      <c r="A67" s="20">
        <v>2026.0</v>
      </c>
      <c r="B67" s="20">
        <v>3.0</v>
      </c>
      <c r="C67" s="52" t="s">
        <v>72</v>
      </c>
      <c r="D67" s="20" t="s">
        <v>73</v>
      </c>
      <c r="E67" s="20" t="s">
        <v>17</v>
      </c>
      <c r="F67" s="20" t="s">
        <v>61</v>
      </c>
      <c r="G67" s="20">
        <v>16.0</v>
      </c>
      <c r="H67" s="20">
        <v>6.4</v>
      </c>
      <c r="I67" s="20">
        <v>102.4</v>
      </c>
    </row>
    <row r="68">
      <c r="A68" s="20">
        <v>2026.0</v>
      </c>
      <c r="B68" s="20">
        <v>1.0</v>
      </c>
      <c r="C68" s="52" t="s">
        <v>62</v>
      </c>
      <c r="D68" s="20" t="s">
        <v>15</v>
      </c>
      <c r="E68" s="20" t="s">
        <v>15</v>
      </c>
      <c r="F68" s="20" t="s">
        <v>61</v>
      </c>
      <c r="G68" s="20">
        <v>1.5</v>
      </c>
      <c r="H68" s="20">
        <v>10.0</v>
      </c>
      <c r="I68" s="20">
        <v>15.0</v>
      </c>
    </row>
    <row r="69">
      <c r="A69" s="20">
        <v>2026.0</v>
      </c>
      <c r="B69" s="20">
        <v>1.0</v>
      </c>
      <c r="C69" s="52" t="s">
        <v>86</v>
      </c>
      <c r="D69" s="20" t="s">
        <v>15</v>
      </c>
      <c r="E69" s="20" t="s">
        <v>15</v>
      </c>
      <c r="F69" s="20" t="s">
        <v>61</v>
      </c>
      <c r="G69" s="20">
        <v>15.0</v>
      </c>
      <c r="H69" s="20">
        <v>53.3</v>
      </c>
      <c r="I69" s="20">
        <v>799.5</v>
      </c>
    </row>
    <row r="70">
      <c r="A70" s="20">
        <v>2026.0</v>
      </c>
      <c r="B70" s="20">
        <v>2.0</v>
      </c>
      <c r="C70" s="52" t="s">
        <v>62</v>
      </c>
      <c r="D70" s="20" t="s">
        <v>15</v>
      </c>
      <c r="E70" s="20" t="s">
        <v>15</v>
      </c>
      <c r="F70" s="20" t="s">
        <v>61</v>
      </c>
      <c r="G70" s="20">
        <v>1.5</v>
      </c>
      <c r="H70" s="20">
        <v>10.0</v>
      </c>
      <c r="I70" s="20">
        <v>15.0</v>
      </c>
    </row>
    <row r="71">
      <c r="A71" s="20">
        <v>2026.0</v>
      </c>
      <c r="B71" s="20">
        <v>2.0</v>
      </c>
      <c r="C71" s="52" t="s">
        <v>89</v>
      </c>
      <c r="D71" s="20" t="s">
        <v>15</v>
      </c>
      <c r="E71" s="20" t="s">
        <v>15</v>
      </c>
      <c r="F71" s="20" t="s">
        <v>61</v>
      </c>
      <c r="G71" s="20">
        <v>13.5</v>
      </c>
      <c r="H71" s="20">
        <v>53.3</v>
      </c>
      <c r="I71" s="20">
        <v>719.55</v>
      </c>
    </row>
    <row r="72">
      <c r="A72" s="20">
        <v>2026.0</v>
      </c>
      <c r="B72" s="20">
        <v>3.0</v>
      </c>
      <c r="C72" s="52" t="s">
        <v>62</v>
      </c>
      <c r="D72" s="20" t="s">
        <v>15</v>
      </c>
      <c r="E72" s="20" t="s">
        <v>15</v>
      </c>
      <c r="F72" s="20" t="s">
        <v>61</v>
      </c>
      <c r="G72" s="20">
        <v>1.5</v>
      </c>
      <c r="H72" s="20">
        <v>10.0</v>
      </c>
      <c r="I72" s="20">
        <v>15.0</v>
      </c>
    </row>
    <row r="73">
      <c r="A73" s="20">
        <v>2026.0</v>
      </c>
      <c r="B73" s="20">
        <v>3.0</v>
      </c>
      <c r="C73" s="52" t="s">
        <v>86</v>
      </c>
      <c r="D73" s="20" t="s">
        <v>15</v>
      </c>
      <c r="E73" s="20" t="s">
        <v>15</v>
      </c>
      <c r="F73" s="20" t="s">
        <v>61</v>
      </c>
      <c r="G73" s="20">
        <v>4.5</v>
      </c>
      <c r="H73" s="20">
        <v>53.3</v>
      </c>
      <c r="I73" s="20">
        <v>239.85</v>
      </c>
    </row>
    <row r="74">
      <c r="A74" s="20">
        <v>2026.0</v>
      </c>
      <c r="B74" s="20">
        <v>3.0</v>
      </c>
      <c r="C74" s="52" t="s">
        <v>89</v>
      </c>
      <c r="D74" s="20" t="s">
        <v>15</v>
      </c>
      <c r="E74" s="20" t="s">
        <v>15</v>
      </c>
      <c r="F74" s="20" t="s">
        <v>61</v>
      </c>
      <c r="G74" s="20">
        <v>10.5</v>
      </c>
      <c r="H74" s="20">
        <v>53.3</v>
      </c>
      <c r="I74" s="20">
        <v>559.65</v>
      </c>
    </row>
    <row r="75">
      <c r="A75" s="20">
        <v>2026.0</v>
      </c>
      <c r="B75" s="20">
        <v>1.0</v>
      </c>
      <c r="C75" s="52" t="s">
        <v>94</v>
      </c>
      <c r="D75" s="20" t="s">
        <v>17</v>
      </c>
      <c r="E75" s="20" t="s">
        <v>17</v>
      </c>
      <c r="F75" s="20" t="s">
        <v>61</v>
      </c>
      <c r="G75" s="20">
        <v>19.0</v>
      </c>
      <c r="H75" s="20">
        <v>20.0</v>
      </c>
      <c r="I75" s="20">
        <v>380.0</v>
      </c>
    </row>
    <row r="76">
      <c r="A76" s="20">
        <v>2026.0</v>
      </c>
      <c r="B76" s="20">
        <v>2.0</v>
      </c>
      <c r="C76" s="52" t="s">
        <v>94</v>
      </c>
      <c r="D76" s="20" t="s">
        <v>17</v>
      </c>
      <c r="E76" s="20" t="s">
        <v>17</v>
      </c>
      <c r="F76" s="20" t="s">
        <v>61</v>
      </c>
      <c r="G76" s="20">
        <v>20.0</v>
      </c>
      <c r="H76" s="20">
        <v>20.0</v>
      </c>
      <c r="I76" s="20">
        <v>400.0</v>
      </c>
    </row>
    <row r="77">
      <c r="A77" s="20">
        <v>2026.0</v>
      </c>
      <c r="B77" s="20">
        <v>3.0</v>
      </c>
      <c r="C77" s="52" t="s">
        <v>94</v>
      </c>
      <c r="D77" s="20" t="s">
        <v>17</v>
      </c>
      <c r="E77" s="20" t="s">
        <v>17</v>
      </c>
      <c r="F77" s="20" t="s">
        <v>61</v>
      </c>
      <c r="G77" s="20">
        <v>21.5</v>
      </c>
      <c r="H77" s="20">
        <v>20.0</v>
      </c>
      <c r="I77" s="20">
        <v>430.0</v>
      </c>
    </row>
    <row r="78">
      <c r="A78" s="20">
        <v>2026.0</v>
      </c>
      <c r="B78" s="20">
        <v>1.0</v>
      </c>
      <c r="C78" s="52" t="s">
        <v>97</v>
      </c>
      <c r="D78" s="20" t="s">
        <v>98</v>
      </c>
      <c r="E78" s="20" t="s">
        <v>17</v>
      </c>
      <c r="F78" s="20" t="s">
        <v>61</v>
      </c>
      <c r="G78" s="20">
        <v>11.0</v>
      </c>
      <c r="H78" s="20">
        <v>22.2</v>
      </c>
      <c r="I78" s="20">
        <v>244.2</v>
      </c>
    </row>
    <row r="79">
      <c r="A79" s="20">
        <v>2026.0</v>
      </c>
      <c r="B79" s="20">
        <v>2.0</v>
      </c>
      <c r="C79" s="52" t="s">
        <v>97</v>
      </c>
      <c r="D79" s="20" t="s">
        <v>98</v>
      </c>
      <c r="E79" s="20" t="s">
        <v>17</v>
      </c>
      <c r="F79" s="20" t="s">
        <v>61</v>
      </c>
      <c r="G79" s="20">
        <v>20.0</v>
      </c>
      <c r="H79" s="20">
        <v>22.2</v>
      </c>
      <c r="I79" s="20">
        <v>444.0</v>
      </c>
    </row>
    <row r="80">
      <c r="A80" s="20">
        <v>2026.0</v>
      </c>
      <c r="B80" s="20">
        <v>3.0</v>
      </c>
      <c r="C80" s="52" t="s">
        <v>97</v>
      </c>
      <c r="D80" s="20" t="s">
        <v>98</v>
      </c>
      <c r="E80" s="20" t="s">
        <v>17</v>
      </c>
      <c r="F80" s="20" t="s">
        <v>61</v>
      </c>
      <c r="G80" s="20">
        <v>22.0</v>
      </c>
      <c r="H80" s="20">
        <v>22.2</v>
      </c>
      <c r="I80" s="20">
        <v>488.4</v>
      </c>
    </row>
    <row r="81">
      <c r="A81" s="20">
        <v>2026.0</v>
      </c>
      <c r="B81" s="20">
        <v>1.0</v>
      </c>
      <c r="C81" s="52" t="s">
        <v>97</v>
      </c>
      <c r="D81" s="20" t="s">
        <v>110</v>
      </c>
      <c r="E81" s="20" t="s">
        <v>17</v>
      </c>
      <c r="F81" s="20" t="s">
        <v>61</v>
      </c>
      <c r="G81" s="20">
        <v>20.0</v>
      </c>
      <c r="H81" s="20">
        <v>14.4</v>
      </c>
      <c r="I81" s="20">
        <v>288.0</v>
      </c>
    </row>
    <row r="82">
      <c r="A82" s="20">
        <v>2026.0</v>
      </c>
      <c r="B82" s="20">
        <v>2.0</v>
      </c>
      <c r="C82" s="52" t="s">
        <v>97</v>
      </c>
      <c r="D82" s="20" t="s">
        <v>110</v>
      </c>
      <c r="E82" s="20" t="s">
        <v>17</v>
      </c>
      <c r="F82" s="20" t="s">
        <v>61</v>
      </c>
      <c r="G82" s="20">
        <v>20.0</v>
      </c>
      <c r="H82" s="20">
        <v>14.4</v>
      </c>
      <c r="I82" s="20">
        <v>288.0</v>
      </c>
    </row>
    <row r="83">
      <c r="A83" s="20">
        <v>2026.0</v>
      </c>
      <c r="B83" s="20">
        <v>3.0</v>
      </c>
      <c r="C83" s="52" t="s">
        <v>97</v>
      </c>
      <c r="D83" s="20" t="s">
        <v>110</v>
      </c>
      <c r="E83" s="20" t="s">
        <v>17</v>
      </c>
      <c r="F83" s="20" t="s">
        <v>61</v>
      </c>
      <c r="G83" s="20">
        <v>21.5</v>
      </c>
      <c r="H83" s="20">
        <v>14.4</v>
      </c>
      <c r="I83" s="20">
        <v>309.6</v>
      </c>
    </row>
    <row r="84">
      <c r="A84" s="20">
        <v>2026.0</v>
      </c>
      <c r="B84" s="20">
        <v>1.0</v>
      </c>
      <c r="C84" s="52" t="s">
        <v>111</v>
      </c>
      <c r="D84" s="20" t="s">
        <v>112</v>
      </c>
      <c r="E84" s="20" t="s">
        <v>26</v>
      </c>
      <c r="F84" s="20" t="s">
        <v>61</v>
      </c>
      <c r="G84" s="20">
        <v>17.5</v>
      </c>
      <c r="H84" s="20">
        <v>17.9</v>
      </c>
      <c r="I84" s="20">
        <v>313.25</v>
      </c>
    </row>
    <row r="85">
      <c r="A85" s="20">
        <v>2026.0</v>
      </c>
      <c r="B85" s="20">
        <v>2.0</v>
      </c>
      <c r="C85" s="52" t="s">
        <v>111</v>
      </c>
      <c r="D85" s="20" t="s">
        <v>112</v>
      </c>
      <c r="E85" s="20" t="s">
        <v>26</v>
      </c>
      <c r="F85" s="20" t="s">
        <v>61</v>
      </c>
      <c r="G85" s="20">
        <v>13.5</v>
      </c>
      <c r="H85" s="20">
        <v>17.9</v>
      </c>
      <c r="I85" s="20">
        <v>241.65</v>
      </c>
    </row>
    <row r="86">
      <c r="A86" s="20">
        <v>2026.0</v>
      </c>
      <c r="B86" s="20">
        <v>3.0</v>
      </c>
      <c r="C86" s="52" t="s">
        <v>111</v>
      </c>
      <c r="D86" s="20" t="s">
        <v>112</v>
      </c>
      <c r="E86" s="20" t="s">
        <v>26</v>
      </c>
      <c r="F86" s="20" t="s">
        <v>61</v>
      </c>
      <c r="G86" s="20">
        <v>6.0</v>
      </c>
      <c r="H86" s="20">
        <v>17.9</v>
      </c>
      <c r="I86" s="20">
        <v>107.4</v>
      </c>
    </row>
    <row r="87">
      <c r="A87" s="20">
        <v>2026.0</v>
      </c>
      <c r="B87" s="20">
        <v>3.0</v>
      </c>
      <c r="C87" s="52" t="s">
        <v>111</v>
      </c>
      <c r="D87" s="20" t="s">
        <v>112</v>
      </c>
      <c r="E87" s="20" t="s">
        <v>26</v>
      </c>
      <c r="F87" s="20" t="s">
        <v>61</v>
      </c>
      <c r="G87" s="20">
        <v>10.0</v>
      </c>
      <c r="H87" s="20">
        <v>17.9</v>
      </c>
      <c r="I87" s="20">
        <v>179.0</v>
      </c>
    </row>
    <row r="88">
      <c r="A88" s="20">
        <v>2026.0</v>
      </c>
      <c r="B88" s="20">
        <v>1.0</v>
      </c>
      <c r="C88" s="52" t="s">
        <v>115</v>
      </c>
      <c r="D88" s="20" t="s">
        <v>116</v>
      </c>
      <c r="E88" s="20" t="s">
        <v>28</v>
      </c>
      <c r="F88" s="20" t="s">
        <v>61</v>
      </c>
      <c r="G88" s="20">
        <v>9.0</v>
      </c>
      <c r="H88" s="20">
        <v>12.5</v>
      </c>
      <c r="I88" s="20">
        <v>112.5</v>
      </c>
    </row>
    <row r="89">
      <c r="A89" s="20">
        <v>2026.0</v>
      </c>
      <c r="B89" s="20">
        <v>2.0</v>
      </c>
      <c r="C89" s="52" t="s">
        <v>115</v>
      </c>
      <c r="D89" s="20" t="s">
        <v>116</v>
      </c>
      <c r="E89" s="20" t="s">
        <v>28</v>
      </c>
      <c r="F89" s="20" t="s">
        <v>61</v>
      </c>
      <c r="G89" s="20">
        <v>20.0</v>
      </c>
      <c r="H89" s="20">
        <v>12.5</v>
      </c>
      <c r="I89" s="20">
        <v>250.0</v>
      </c>
    </row>
    <row r="90">
      <c r="A90" s="20">
        <v>2026.0</v>
      </c>
      <c r="B90" s="20">
        <v>3.0</v>
      </c>
      <c r="C90" s="52" t="s">
        <v>115</v>
      </c>
      <c r="D90" s="20" t="s">
        <v>116</v>
      </c>
      <c r="E90" s="20" t="s">
        <v>28</v>
      </c>
      <c r="F90" s="20" t="s">
        <v>61</v>
      </c>
      <c r="G90" s="20">
        <v>21.5</v>
      </c>
      <c r="H90" s="20">
        <v>12.5</v>
      </c>
      <c r="I90" s="20">
        <v>268.75</v>
      </c>
    </row>
    <row r="91">
      <c r="A91" s="20">
        <v>2026.0</v>
      </c>
      <c r="B91" s="20">
        <v>1.0</v>
      </c>
      <c r="C91" s="52" t="s">
        <v>119</v>
      </c>
      <c r="D91" s="20" t="s">
        <v>120</v>
      </c>
      <c r="E91" s="20" t="s">
        <v>22</v>
      </c>
      <c r="F91" s="20" t="s">
        <v>61</v>
      </c>
      <c r="G91" s="20">
        <v>21.0</v>
      </c>
      <c r="H91" s="20">
        <v>35.9</v>
      </c>
      <c r="I91" s="20">
        <v>753.9</v>
      </c>
    </row>
    <row r="92">
      <c r="A92" s="20">
        <v>2026.0</v>
      </c>
      <c r="B92" s="20">
        <v>1.0</v>
      </c>
      <c r="C92" s="52" t="s">
        <v>121</v>
      </c>
      <c r="D92" s="20" t="s">
        <v>120</v>
      </c>
      <c r="E92" s="20" t="s">
        <v>22</v>
      </c>
      <c r="F92" s="20" t="s">
        <v>61</v>
      </c>
      <c r="G92" s="20">
        <v>2.5</v>
      </c>
      <c r="H92" s="20">
        <v>51.5</v>
      </c>
      <c r="I92" s="20">
        <v>128.75</v>
      </c>
    </row>
    <row r="93">
      <c r="A93" s="20">
        <v>2026.0</v>
      </c>
      <c r="B93" s="20">
        <v>1.0</v>
      </c>
      <c r="C93" s="52" t="s">
        <v>121</v>
      </c>
      <c r="D93" s="20" t="s">
        <v>120</v>
      </c>
      <c r="E93" s="20" t="s">
        <v>26</v>
      </c>
      <c r="F93" s="20" t="s">
        <v>61</v>
      </c>
      <c r="G93" s="20">
        <v>2.5</v>
      </c>
      <c r="H93" s="20">
        <v>12.9</v>
      </c>
      <c r="I93" s="20">
        <v>32.25</v>
      </c>
    </row>
    <row r="94">
      <c r="A94" s="20">
        <v>2026.0</v>
      </c>
      <c r="B94" s="20">
        <v>2.0</v>
      </c>
      <c r="C94" s="52" t="s">
        <v>119</v>
      </c>
      <c r="D94" s="20" t="s">
        <v>120</v>
      </c>
      <c r="E94" s="20" t="s">
        <v>22</v>
      </c>
      <c r="F94" s="20" t="s">
        <v>61</v>
      </c>
      <c r="G94" s="20">
        <v>15.0</v>
      </c>
      <c r="H94" s="20">
        <v>35.9</v>
      </c>
      <c r="I94" s="20">
        <v>538.5</v>
      </c>
    </row>
    <row r="95">
      <c r="A95" s="20">
        <v>2026.0</v>
      </c>
      <c r="B95" s="20">
        <v>3.0</v>
      </c>
      <c r="C95" s="52" t="s">
        <v>119</v>
      </c>
      <c r="D95" s="20" t="s">
        <v>120</v>
      </c>
      <c r="E95" s="20" t="s">
        <v>22</v>
      </c>
      <c r="F95" s="20" t="s">
        <v>61</v>
      </c>
      <c r="G95" s="20">
        <v>19.5</v>
      </c>
      <c r="H95" s="20">
        <v>35.9</v>
      </c>
      <c r="I95" s="20">
        <v>700.05</v>
      </c>
    </row>
    <row r="96">
      <c r="A96" s="20">
        <v>2026.0</v>
      </c>
      <c r="B96" s="20">
        <v>1.0</v>
      </c>
      <c r="C96" s="52" t="s">
        <v>124</v>
      </c>
      <c r="D96" s="20" t="s">
        <v>125</v>
      </c>
      <c r="E96" s="20" t="s">
        <v>15</v>
      </c>
      <c r="F96" s="20" t="s">
        <v>61</v>
      </c>
      <c r="G96" s="20">
        <v>21.0</v>
      </c>
      <c r="H96" s="20">
        <v>47.9</v>
      </c>
      <c r="I96" s="20">
        <v>1005.9</v>
      </c>
    </row>
    <row r="97">
      <c r="A97" s="20">
        <v>2026.0</v>
      </c>
      <c r="B97" s="20">
        <v>2.0</v>
      </c>
      <c r="C97" s="52" t="s">
        <v>124</v>
      </c>
      <c r="D97" s="20" t="s">
        <v>125</v>
      </c>
      <c r="E97" s="20" t="s">
        <v>15</v>
      </c>
      <c r="F97" s="20" t="s">
        <v>61</v>
      </c>
      <c r="G97" s="20">
        <v>20.0</v>
      </c>
      <c r="H97" s="20">
        <v>47.9</v>
      </c>
      <c r="I97" s="20">
        <v>958.0</v>
      </c>
    </row>
    <row r="98">
      <c r="A98" s="20">
        <v>2026.0</v>
      </c>
      <c r="B98" s="20">
        <v>3.0</v>
      </c>
      <c r="C98" s="52" t="s">
        <v>124</v>
      </c>
      <c r="D98" s="20" t="s">
        <v>125</v>
      </c>
      <c r="E98" s="20" t="s">
        <v>15</v>
      </c>
      <c r="F98" s="20" t="s">
        <v>61</v>
      </c>
      <c r="G98" s="20">
        <v>22.0</v>
      </c>
      <c r="H98" s="20">
        <v>47.9</v>
      </c>
      <c r="I98" s="20">
        <v>1053.8</v>
      </c>
    </row>
    <row r="99">
      <c r="A99" s="20">
        <v>2026.0</v>
      </c>
      <c r="B99" s="20">
        <v>1.0</v>
      </c>
      <c r="C99" s="52" t="s">
        <v>99</v>
      </c>
      <c r="D99" s="20" t="s">
        <v>83</v>
      </c>
      <c r="E99" s="20" t="s">
        <v>33</v>
      </c>
      <c r="F99" s="20" t="s">
        <v>61</v>
      </c>
      <c r="G99" s="20">
        <v>2.5</v>
      </c>
      <c r="H99" s="20">
        <v>43.0</v>
      </c>
      <c r="I99" s="20">
        <v>107.5</v>
      </c>
    </row>
    <row r="100">
      <c r="A100" s="20">
        <v>2026.0</v>
      </c>
      <c r="B100" s="20">
        <v>1.0</v>
      </c>
      <c r="C100" s="52" t="s">
        <v>99</v>
      </c>
      <c r="D100" s="20" t="s">
        <v>83</v>
      </c>
      <c r="E100" s="20" t="s">
        <v>33</v>
      </c>
      <c r="F100" s="20" t="s">
        <v>61</v>
      </c>
      <c r="G100" s="20">
        <v>16.5</v>
      </c>
      <c r="H100" s="20">
        <v>43.0</v>
      </c>
      <c r="I100" s="20">
        <v>709.5</v>
      </c>
    </row>
    <row r="101">
      <c r="A101" s="20">
        <v>2026.0</v>
      </c>
      <c r="B101" s="20">
        <v>2.0</v>
      </c>
      <c r="C101" s="52" t="s">
        <v>99</v>
      </c>
      <c r="D101" s="20" t="s">
        <v>83</v>
      </c>
      <c r="E101" s="20" t="s">
        <v>33</v>
      </c>
      <c r="F101" s="20" t="s">
        <v>61</v>
      </c>
      <c r="G101" s="20">
        <v>20.0</v>
      </c>
      <c r="H101" s="20">
        <v>43.0</v>
      </c>
      <c r="I101" s="20">
        <v>860.0</v>
      </c>
    </row>
    <row r="102">
      <c r="A102" s="20">
        <v>2026.0</v>
      </c>
      <c r="B102" s="20">
        <v>3.0</v>
      </c>
      <c r="C102" s="52" t="s">
        <v>99</v>
      </c>
      <c r="D102" s="20" t="s">
        <v>83</v>
      </c>
      <c r="E102" s="20" t="s">
        <v>33</v>
      </c>
      <c r="F102" s="20" t="s">
        <v>61</v>
      </c>
      <c r="G102" s="20">
        <v>2.5</v>
      </c>
      <c r="H102" s="20">
        <v>43.0</v>
      </c>
      <c r="I102" s="20">
        <v>107.5</v>
      </c>
    </row>
    <row r="103">
      <c r="A103" s="20">
        <v>2026.0</v>
      </c>
      <c r="B103" s="20">
        <v>3.0</v>
      </c>
      <c r="C103" s="52" t="s">
        <v>99</v>
      </c>
      <c r="D103" s="20" t="s">
        <v>83</v>
      </c>
      <c r="E103" s="20" t="s">
        <v>33</v>
      </c>
      <c r="F103" s="20" t="s">
        <v>61</v>
      </c>
      <c r="G103" s="20">
        <v>6.5</v>
      </c>
      <c r="H103" s="20">
        <v>43.0</v>
      </c>
      <c r="I103" s="20">
        <v>279.5</v>
      </c>
    </row>
    <row r="104">
      <c r="A104" s="20">
        <v>2026.0</v>
      </c>
      <c r="B104" s="20">
        <v>1.0</v>
      </c>
      <c r="C104" s="52" t="s">
        <v>114</v>
      </c>
      <c r="D104" s="20" t="s">
        <v>101</v>
      </c>
      <c r="E104" s="20" t="s">
        <v>17</v>
      </c>
      <c r="F104" s="20" t="s">
        <v>61</v>
      </c>
      <c r="G104" s="20">
        <v>19.5</v>
      </c>
      <c r="H104" s="20">
        <v>29.2</v>
      </c>
      <c r="I104" s="20">
        <v>569.4</v>
      </c>
    </row>
    <row r="105">
      <c r="A105" s="20">
        <v>2026.0</v>
      </c>
      <c r="B105" s="20">
        <v>2.0</v>
      </c>
      <c r="C105" s="52" t="s">
        <v>114</v>
      </c>
      <c r="D105" s="20" t="s">
        <v>101</v>
      </c>
      <c r="E105" s="20" t="s">
        <v>17</v>
      </c>
      <c r="F105" s="20" t="s">
        <v>61</v>
      </c>
      <c r="G105" s="20">
        <v>4.5</v>
      </c>
      <c r="H105" s="20">
        <v>29.2</v>
      </c>
      <c r="I105" s="20">
        <v>131.4</v>
      </c>
    </row>
    <row r="106">
      <c r="A106" s="20">
        <v>2026.0</v>
      </c>
      <c r="B106" s="20">
        <v>3.0</v>
      </c>
      <c r="C106" s="52" t="s">
        <v>114</v>
      </c>
      <c r="D106" s="20" t="s">
        <v>101</v>
      </c>
      <c r="E106" s="20" t="s">
        <v>17</v>
      </c>
      <c r="F106" s="20" t="s">
        <v>61</v>
      </c>
      <c r="G106" s="20">
        <v>21.0</v>
      </c>
      <c r="H106" s="20">
        <v>29.2</v>
      </c>
      <c r="I106" s="20">
        <v>613.2</v>
      </c>
    </row>
    <row r="107">
      <c r="A107" s="20">
        <v>2026.0</v>
      </c>
      <c r="B107" s="20">
        <v>1.0</v>
      </c>
      <c r="C107" s="52" t="s">
        <v>117</v>
      </c>
      <c r="D107" s="20" t="s">
        <v>118</v>
      </c>
      <c r="E107" s="20" t="s">
        <v>17</v>
      </c>
      <c r="F107" s="20" t="s">
        <v>61</v>
      </c>
      <c r="G107" s="20">
        <v>21.0</v>
      </c>
      <c r="H107" s="20">
        <v>9.8</v>
      </c>
      <c r="I107" s="20">
        <v>205.8</v>
      </c>
    </row>
    <row r="108">
      <c r="A108" s="20">
        <v>2026.0</v>
      </c>
      <c r="B108" s="20">
        <v>2.0</v>
      </c>
      <c r="C108" s="52" t="s">
        <v>117</v>
      </c>
      <c r="D108" s="20" t="s">
        <v>118</v>
      </c>
      <c r="E108" s="20" t="s">
        <v>17</v>
      </c>
      <c r="F108" s="20" t="s">
        <v>61</v>
      </c>
      <c r="G108" s="20">
        <v>20.0</v>
      </c>
      <c r="H108" s="20">
        <v>9.8</v>
      </c>
      <c r="I108" s="20">
        <v>196.0</v>
      </c>
    </row>
    <row r="109">
      <c r="A109" s="20">
        <v>2026.0</v>
      </c>
      <c r="B109" s="20">
        <v>3.0</v>
      </c>
      <c r="C109" s="52" t="s">
        <v>117</v>
      </c>
      <c r="D109" s="20" t="s">
        <v>118</v>
      </c>
      <c r="E109" s="20" t="s">
        <v>13</v>
      </c>
      <c r="F109" s="20" t="s">
        <v>61</v>
      </c>
      <c r="G109" s="20">
        <v>7.0</v>
      </c>
      <c r="H109" s="20">
        <v>9.8</v>
      </c>
      <c r="I109" s="20">
        <v>68.6</v>
      </c>
    </row>
    <row r="110">
      <c r="A110" s="20">
        <v>2026.0</v>
      </c>
      <c r="B110" s="20">
        <v>3.0</v>
      </c>
      <c r="C110" s="52" t="s">
        <v>117</v>
      </c>
      <c r="D110" s="20" t="s">
        <v>118</v>
      </c>
      <c r="E110" s="20" t="s">
        <v>17</v>
      </c>
      <c r="F110" s="20" t="s">
        <v>61</v>
      </c>
      <c r="G110" s="20">
        <v>7.0</v>
      </c>
      <c r="H110" s="20">
        <v>9.8</v>
      </c>
      <c r="I110" s="20">
        <v>68.6</v>
      </c>
    </row>
    <row r="111">
      <c r="A111" s="20">
        <v>2026.0</v>
      </c>
      <c r="B111" s="20">
        <v>1.0</v>
      </c>
      <c r="C111" s="52" t="s">
        <v>122</v>
      </c>
      <c r="D111" s="20" t="s">
        <v>123</v>
      </c>
      <c r="E111" s="20" t="s">
        <v>17</v>
      </c>
      <c r="F111" s="20" t="s">
        <v>61</v>
      </c>
      <c r="G111" s="20">
        <v>21.0</v>
      </c>
      <c r="H111" s="20">
        <v>2.5</v>
      </c>
      <c r="I111" s="20">
        <v>52.5</v>
      </c>
    </row>
    <row r="112">
      <c r="A112" s="20">
        <v>2026.0</v>
      </c>
      <c r="B112" s="20">
        <v>2.0</v>
      </c>
      <c r="C112" s="52" t="s">
        <v>122</v>
      </c>
      <c r="D112" s="20" t="s">
        <v>123</v>
      </c>
      <c r="E112" s="20" t="s">
        <v>17</v>
      </c>
      <c r="F112" s="20" t="s">
        <v>61</v>
      </c>
      <c r="G112" s="20">
        <v>20.0</v>
      </c>
      <c r="H112" s="20">
        <v>2.5</v>
      </c>
      <c r="I112" s="20">
        <v>50.0</v>
      </c>
    </row>
    <row r="113">
      <c r="A113" s="20">
        <v>2026.0</v>
      </c>
      <c r="B113" s="20">
        <v>3.0</v>
      </c>
      <c r="C113" s="52" t="s">
        <v>122</v>
      </c>
      <c r="D113" s="20" t="s">
        <v>123</v>
      </c>
      <c r="E113" s="20" t="s">
        <v>13</v>
      </c>
      <c r="F113" s="20" t="s">
        <v>61</v>
      </c>
      <c r="G113" s="20">
        <v>22.0</v>
      </c>
      <c r="H113" s="20">
        <v>9.9</v>
      </c>
      <c r="I113" s="20">
        <v>217.8</v>
      </c>
    </row>
    <row r="114">
      <c r="A114" s="20">
        <v>2026.0</v>
      </c>
      <c r="B114" s="20">
        <v>3.0</v>
      </c>
      <c r="C114" s="52" t="s">
        <v>122</v>
      </c>
      <c r="D114" s="20" t="s">
        <v>123</v>
      </c>
      <c r="E114" s="20" t="s">
        <v>17</v>
      </c>
      <c r="F114" s="20" t="s">
        <v>61</v>
      </c>
      <c r="G114" s="20">
        <v>22.0</v>
      </c>
      <c r="H114" s="20">
        <v>2.5</v>
      </c>
      <c r="I114" s="20">
        <v>55.0</v>
      </c>
    </row>
    <row r="115">
      <c r="A115" s="20">
        <v>2026.0</v>
      </c>
      <c r="B115" s="20">
        <v>1.0</v>
      </c>
      <c r="C115" s="52" t="s">
        <v>132</v>
      </c>
      <c r="D115" s="20" t="s">
        <v>133</v>
      </c>
      <c r="E115" s="20" t="s">
        <v>28</v>
      </c>
      <c r="F115" s="20" t="s">
        <v>61</v>
      </c>
      <c r="G115" s="20">
        <v>17.0</v>
      </c>
      <c r="H115" s="20">
        <v>2.8</v>
      </c>
      <c r="I115" s="20">
        <v>47.6</v>
      </c>
    </row>
    <row r="116">
      <c r="A116" s="20">
        <v>2026.0</v>
      </c>
      <c r="B116" s="20">
        <v>2.0</v>
      </c>
      <c r="C116" s="52" t="s">
        <v>132</v>
      </c>
      <c r="D116" s="20" t="s">
        <v>133</v>
      </c>
      <c r="E116" s="20" t="s">
        <v>28</v>
      </c>
      <c r="F116" s="20" t="s">
        <v>61</v>
      </c>
      <c r="G116" s="20">
        <v>10.5</v>
      </c>
      <c r="H116" s="20">
        <v>2.8</v>
      </c>
      <c r="I116" s="20">
        <v>29.4</v>
      </c>
    </row>
    <row r="117">
      <c r="A117" s="20">
        <v>2026.0</v>
      </c>
      <c r="B117" s="20">
        <v>1.0</v>
      </c>
      <c r="C117" s="52" t="s">
        <v>62</v>
      </c>
      <c r="D117" s="20" t="s">
        <v>126</v>
      </c>
      <c r="E117" s="20" t="s">
        <v>15</v>
      </c>
      <c r="F117" s="20" t="s">
        <v>61</v>
      </c>
      <c r="G117" s="20">
        <v>17.0</v>
      </c>
      <c r="H117" s="20">
        <v>10.3</v>
      </c>
      <c r="I117" s="20">
        <v>175.1</v>
      </c>
    </row>
    <row r="118">
      <c r="A118" s="20">
        <v>2026.0</v>
      </c>
      <c r="B118" s="20">
        <v>1.0</v>
      </c>
      <c r="C118" s="52" t="s">
        <v>62</v>
      </c>
      <c r="D118" s="20" t="s">
        <v>126</v>
      </c>
      <c r="E118" s="20" t="s">
        <v>35</v>
      </c>
      <c r="F118" s="20" t="s">
        <v>61</v>
      </c>
      <c r="G118" s="20">
        <v>17.0</v>
      </c>
      <c r="H118" s="20">
        <v>2.4</v>
      </c>
      <c r="I118" s="20">
        <v>40.8</v>
      </c>
    </row>
    <row r="119">
      <c r="A119" s="20">
        <v>2026.0</v>
      </c>
      <c r="B119" s="20">
        <v>2.0</v>
      </c>
      <c r="C119" s="52" t="s">
        <v>62</v>
      </c>
      <c r="D119" s="20" t="s">
        <v>126</v>
      </c>
      <c r="E119" s="20" t="s">
        <v>15</v>
      </c>
      <c r="F119" s="20" t="s">
        <v>61</v>
      </c>
      <c r="G119" s="20">
        <v>20.0</v>
      </c>
      <c r="H119" s="20">
        <v>10.3</v>
      </c>
      <c r="I119" s="20">
        <v>206.0</v>
      </c>
    </row>
    <row r="120">
      <c r="A120" s="20">
        <v>2026.0</v>
      </c>
      <c r="B120" s="20">
        <v>2.0</v>
      </c>
      <c r="C120" s="52" t="s">
        <v>62</v>
      </c>
      <c r="D120" s="20" t="s">
        <v>126</v>
      </c>
      <c r="E120" s="20" t="s">
        <v>35</v>
      </c>
      <c r="F120" s="20" t="s">
        <v>61</v>
      </c>
      <c r="G120" s="20">
        <v>20.0</v>
      </c>
      <c r="H120" s="20">
        <v>2.4</v>
      </c>
      <c r="I120" s="20">
        <v>48.0</v>
      </c>
    </row>
    <row r="121">
      <c r="A121" s="20">
        <v>2026.0</v>
      </c>
      <c r="B121" s="20">
        <v>3.0</v>
      </c>
      <c r="C121" s="52" t="s">
        <v>62</v>
      </c>
      <c r="D121" s="20" t="s">
        <v>126</v>
      </c>
      <c r="E121" s="20" t="s">
        <v>15</v>
      </c>
      <c r="F121" s="20" t="s">
        <v>61</v>
      </c>
      <c r="G121" s="20">
        <v>22.0</v>
      </c>
      <c r="H121" s="20">
        <v>10.3</v>
      </c>
      <c r="I121" s="20">
        <v>226.6</v>
      </c>
    </row>
    <row r="122">
      <c r="A122" s="20">
        <v>2026.0</v>
      </c>
      <c r="B122" s="20">
        <v>3.0</v>
      </c>
      <c r="C122" s="52" t="s">
        <v>62</v>
      </c>
      <c r="D122" s="20" t="s">
        <v>126</v>
      </c>
      <c r="E122" s="20" t="s">
        <v>35</v>
      </c>
      <c r="F122" s="20" t="s">
        <v>61</v>
      </c>
      <c r="G122" s="20">
        <v>22.0</v>
      </c>
      <c r="H122" s="20">
        <v>2.4</v>
      </c>
      <c r="I122" s="20">
        <v>52.8</v>
      </c>
    </row>
    <row r="123">
      <c r="A123" s="20">
        <v>2026.0</v>
      </c>
      <c r="B123" s="20">
        <v>1.0</v>
      </c>
      <c r="C123" s="52" t="s">
        <v>128</v>
      </c>
      <c r="D123" s="20" t="s">
        <v>129</v>
      </c>
      <c r="E123" s="20" t="s">
        <v>15</v>
      </c>
      <c r="F123" s="20" t="s">
        <v>61</v>
      </c>
      <c r="G123" s="20">
        <v>5.5</v>
      </c>
      <c r="H123" s="20">
        <v>14.3</v>
      </c>
      <c r="I123" s="20">
        <v>78.65</v>
      </c>
    </row>
    <row r="124">
      <c r="A124" s="20">
        <v>2026.0</v>
      </c>
      <c r="B124" s="20">
        <v>1.0</v>
      </c>
      <c r="C124" s="52" t="s">
        <v>128</v>
      </c>
      <c r="D124" s="20" t="s">
        <v>129</v>
      </c>
      <c r="E124" s="20" t="s">
        <v>15</v>
      </c>
      <c r="F124" s="20" t="s">
        <v>61</v>
      </c>
      <c r="G124" s="20">
        <v>15.0</v>
      </c>
      <c r="H124" s="20">
        <v>14.3</v>
      </c>
      <c r="I124" s="20">
        <v>214.5</v>
      </c>
    </row>
    <row r="125">
      <c r="A125" s="20">
        <v>2026.0</v>
      </c>
      <c r="B125" s="20">
        <v>1.0</v>
      </c>
      <c r="C125" s="52" t="s">
        <v>128</v>
      </c>
      <c r="D125" s="20" t="s">
        <v>129</v>
      </c>
      <c r="E125" s="20" t="s">
        <v>44</v>
      </c>
      <c r="F125" s="20" t="s">
        <v>61</v>
      </c>
      <c r="G125" s="20">
        <v>5.5</v>
      </c>
      <c r="H125" s="20">
        <v>29.1</v>
      </c>
      <c r="I125" s="20">
        <v>160.05</v>
      </c>
    </row>
    <row r="126">
      <c r="A126" s="20">
        <v>2026.0</v>
      </c>
      <c r="B126" s="20">
        <v>1.0</v>
      </c>
      <c r="C126" s="52" t="s">
        <v>128</v>
      </c>
      <c r="D126" s="20" t="s">
        <v>129</v>
      </c>
      <c r="E126" s="20" t="s">
        <v>44</v>
      </c>
      <c r="F126" s="20" t="s">
        <v>61</v>
      </c>
      <c r="G126" s="20">
        <v>15.0</v>
      </c>
      <c r="H126" s="20">
        <v>29.1</v>
      </c>
      <c r="I126" s="20">
        <v>436.5</v>
      </c>
    </row>
    <row r="127">
      <c r="A127" s="20">
        <v>2026.0</v>
      </c>
      <c r="B127" s="20">
        <v>2.0</v>
      </c>
      <c r="C127" s="52" t="s">
        <v>128</v>
      </c>
      <c r="D127" s="20" t="s">
        <v>129</v>
      </c>
      <c r="E127" s="20" t="s">
        <v>15</v>
      </c>
      <c r="F127" s="20" t="s">
        <v>61</v>
      </c>
      <c r="G127" s="20">
        <v>20.0</v>
      </c>
      <c r="H127" s="20">
        <v>14.3</v>
      </c>
      <c r="I127" s="20">
        <v>286.0</v>
      </c>
    </row>
    <row r="128">
      <c r="A128" s="20">
        <v>2026.0</v>
      </c>
      <c r="B128" s="20">
        <v>2.0</v>
      </c>
      <c r="C128" s="52" t="s">
        <v>128</v>
      </c>
      <c r="D128" s="20" t="s">
        <v>129</v>
      </c>
      <c r="E128" s="20" t="s">
        <v>44</v>
      </c>
      <c r="F128" s="20" t="s">
        <v>61</v>
      </c>
      <c r="G128" s="20">
        <v>20.0</v>
      </c>
      <c r="H128" s="20">
        <v>29.1</v>
      </c>
      <c r="I128" s="20">
        <v>582.0</v>
      </c>
    </row>
    <row r="129">
      <c r="A129" s="20">
        <v>2026.0</v>
      </c>
      <c r="B129" s="20">
        <v>3.0</v>
      </c>
      <c r="C129" s="52" t="s">
        <v>128</v>
      </c>
      <c r="D129" s="20" t="s">
        <v>129</v>
      </c>
      <c r="E129" s="20" t="s">
        <v>15</v>
      </c>
      <c r="F129" s="20" t="s">
        <v>61</v>
      </c>
      <c r="G129" s="20">
        <v>17.0</v>
      </c>
      <c r="H129" s="20">
        <v>14.3</v>
      </c>
      <c r="I129" s="20">
        <v>243.1</v>
      </c>
    </row>
    <row r="130">
      <c r="A130" s="20">
        <v>2026.0</v>
      </c>
      <c r="B130" s="20">
        <v>3.0</v>
      </c>
      <c r="C130" s="52" t="s">
        <v>128</v>
      </c>
      <c r="D130" s="20" t="s">
        <v>129</v>
      </c>
      <c r="E130" s="20" t="s">
        <v>44</v>
      </c>
      <c r="F130" s="20" t="s">
        <v>61</v>
      </c>
      <c r="G130" s="20">
        <v>17.0</v>
      </c>
      <c r="H130" s="20">
        <v>29.1</v>
      </c>
      <c r="I130" s="20">
        <v>494.7</v>
      </c>
    </row>
    <row r="131">
      <c r="A131" s="20">
        <v>2026.0</v>
      </c>
      <c r="B131" s="20">
        <v>1.0</v>
      </c>
      <c r="C131" s="52" t="s">
        <v>130</v>
      </c>
      <c r="D131" s="20" t="s">
        <v>131</v>
      </c>
      <c r="E131" s="20" t="s">
        <v>28</v>
      </c>
      <c r="F131" s="20" t="s">
        <v>61</v>
      </c>
      <c r="G131" s="20">
        <v>21.0</v>
      </c>
      <c r="H131" s="20">
        <v>7.3</v>
      </c>
      <c r="I131" s="20">
        <v>153.3</v>
      </c>
    </row>
    <row r="132">
      <c r="A132" s="20">
        <v>2026.0</v>
      </c>
      <c r="B132" s="20">
        <v>1.0</v>
      </c>
      <c r="C132" s="52" t="s">
        <v>130</v>
      </c>
      <c r="D132" s="20" t="s">
        <v>131</v>
      </c>
      <c r="E132" s="20" t="s">
        <v>35</v>
      </c>
      <c r="F132" s="20" t="s">
        <v>61</v>
      </c>
      <c r="G132" s="20">
        <v>21.0</v>
      </c>
      <c r="H132" s="20">
        <v>29.0</v>
      </c>
      <c r="I132" s="20">
        <v>609.0</v>
      </c>
    </row>
    <row r="133">
      <c r="A133" s="20">
        <v>2026.0</v>
      </c>
      <c r="B133" s="20">
        <v>2.0</v>
      </c>
      <c r="C133" s="52" t="s">
        <v>130</v>
      </c>
      <c r="D133" s="20" t="s">
        <v>131</v>
      </c>
      <c r="E133" s="20" t="s">
        <v>28</v>
      </c>
      <c r="F133" s="20" t="s">
        <v>61</v>
      </c>
      <c r="G133" s="20">
        <v>20.0</v>
      </c>
      <c r="H133" s="20">
        <v>7.3</v>
      </c>
      <c r="I133" s="20">
        <v>146.0</v>
      </c>
    </row>
    <row r="134">
      <c r="A134" s="20">
        <v>2026.0</v>
      </c>
      <c r="B134" s="20">
        <v>2.0</v>
      </c>
      <c r="C134" s="52" t="s">
        <v>130</v>
      </c>
      <c r="D134" s="20" t="s">
        <v>131</v>
      </c>
      <c r="E134" s="20" t="s">
        <v>35</v>
      </c>
      <c r="F134" s="20" t="s">
        <v>61</v>
      </c>
      <c r="G134" s="20">
        <v>20.0</v>
      </c>
      <c r="H134" s="20">
        <v>29.0</v>
      </c>
      <c r="I134" s="20">
        <v>580.0</v>
      </c>
    </row>
    <row r="135">
      <c r="A135" s="20">
        <v>2026.0</v>
      </c>
      <c r="B135" s="20">
        <v>3.0</v>
      </c>
      <c r="C135" s="52" t="s">
        <v>130</v>
      </c>
      <c r="D135" s="20" t="s">
        <v>131</v>
      </c>
      <c r="E135" s="20" t="s">
        <v>28</v>
      </c>
      <c r="F135" s="20" t="s">
        <v>61</v>
      </c>
      <c r="G135" s="20">
        <v>22.0</v>
      </c>
      <c r="H135" s="20">
        <v>7.3</v>
      </c>
      <c r="I135" s="20">
        <v>160.6</v>
      </c>
    </row>
    <row r="136">
      <c r="A136" s="20">
        <v>2026.0</v>
      </c>
      <c r="B136" s="20">
        <v>3.0</v>
      </c>
      <c r="C136" s="52" t="s">
        <v>130</v>
      </c>
      <c r="D136" s="20" t="s">
        <v>131</v>
      </c>
      <c r="E136" s="20" t="s">
        <v>35</v>
      </c>
      <c r="F136" s="20" t="s">
        <v>61</v>
      </c>
      <c r="G136" s="20">
        <v>22.0</v>
      </c>
      <c r="H136" s="20">
        <v>29.0</v>
      </c>
      <c r="I136" s="20">
        <v>638.0</v>
      </c>
    </row>
    <row r="137">
      <c r="A137" s="20">
        <v>2026.0</v>
      </c>
      <c r="B137" s="20">
        <v>1.0</v>
      </c>
      <c r="C137" s="52" t="s">
        <v>134</v>
      </c>
      <c r="D137" s="20" t="s">
        <v>107</v>
      </c>
      <c r="E137" s="20" t="s">
        <v>28</v>
      </c>
      <c r="F137" s="20" t="s">
        <v>61</v>
      </c>
      <c r="G137" s="20">
        <v>21.0</v>
      </c>
      <c r="H137" s="20">
        <v>6.5</v>
      </c>
      <c r="I137" s="20">
        <v>136.5</v>
      </c>
    </row>
    <row r="138">
      <c r="A138" s="20">
        <v>2026.0</v>
      </c>
      <c r="B138" s="20">
        <v>2.0</v>
      </c>
      <c r="C138" s="52" t="s">
        <v>134</v>
      </c>
      <c r="D138" s="20" t="s">
        <v>107</v>
      </c>
      <c r="E138" s="20" t="s">
        <v>28</v>
      </c>
      <c r="F138" s="20" t="s">
        <v>61</v>
      </c>
      <c r="G138" s="20">
        <v>20.0</v>
      </c>
      <c r="H138" s="20">
        <v>6.5</v>
      </c>
      <c r="I138" s="20">
        <v>130.0</v>
      </c>
    </row>
    <row r="139">
      <c r="A139" s="20">
        <v>2026.0</v>
      </c>
      <c r="B139" s="20">
        <v>3.0</v>
      </c>
      <c r="C139" s="52" t="s">
        <v>134</v>
      </c>
      <c r="D139" s="20" t="s">
        <v>107</v>
      </c>
      <c r="E139" s="20" t="s">
        <v>28</v>
      </c>
      <c r="F139" s="20" t="s">
        <v>61</v>
      </c>
      <c r="G139" s="20">
        <v>22.0</v>
      </c>
      <c r="H139" s="20">
        <v>6.5</v>
      </c>
      <c r="I139" s="20">
        <v>143.0</v>
      </c>
    </row>
    <row r="140">
      <c r="A140" s="20">
        <v>2026.0</v>
      </c>
      <c r="B140" s="20">
        <v>1.0</v>
      </c>
      <c r="C140" s="52" t="s">
        <v>135</v>
      </c>
      <c r="D140" s="20" t="s">
        <v>22</v>
      </c>
      <c r="E140" s="20" t="s">
        <v>22</v>
      </c>
      <c r="F140" s="20" t="s">
        <v>61</v>
      </c>
      <c r="G140" s="20">
        <v>17.0</v>
      </c>
      <c r="H140" s="20">
        <v>4.0</v>
      </c>
      <c r="I140" s="20">
        <v>68.0</v>
      </c>
    </row>
    <row r="141">
      <c r="A141" s="20">
        <v>2026.0</v>
      </c>
      <c r="B141" s="20">
        <v>1.0</v>
      </c>
      <c r="C141" s="52" t="s">
        <v>136</v>
      </c>
      <c r="D141" s="20" t="s">
        <v>22</v>
      </c>
      <c r="E141" s="20" t="s">
        <v>22</v>
      </c>
      <c r="F141" s="20" t="s">
        <v>61</v>
      </c>
      <c r="G141" s="20">
        <v>5.75</v>
      </c>
      <c r="H141" s="20">
        <v>11.7</v>
      </c>
      <c r="I141" s="20">
        <v>67.27</v>
      </c>
    </row>
    <row r="142">
      <c r="A142" s="20">
        <v>2026.0</v>
      </c>
      <c r="B142" s="20">
        <v>2.0</v>
      </c>
      <c r="C142" s="52" t="s">
        <v>135</v>
      </c>
      <c r="D142" s="20" t="s">
        <v>22</v>
      </c>
      <c r="E142" s="20" t="s">
        <v>22</v>
      </c>
      <c r="F142" s="20" t="s">
        <v>61</v>
      </c>
      <c r="G142" s="20">
        <v>20.0</v>
      </c>
      <c r="H142" s="20">
        <v>4.0</v>
      </c>
      <c r="I142" s="20">
        <v>80.0</v>
      </c>
    </row>
    <row r="143">
      <c r="A143" s="20">
        <v>2026.0</v>
      </c>
      <c r="B143" s="20">
        <v>2.0</v>
      </c>
      <c r="C143" s="52" t="s">
        <v>136</v>
      </c>
      <c r="D143" s="20" t="s">
        <v>22</v>
      </c>
      <c r="E143" s="20" t="s">
        <v>22</v>
      </c>
      <c r="F143" s="20" t="s">
        <v>61</v>
      </c>
      <c r="G143" s="20">
        <v>1.25</v>
      </c>
      <c r="H143" s="20">
        <v>11.7</v>
      </c>
      <c r="I143" s="20">
        <v>14.62</v>
      </c>
    </row>
    <row r="144">
      <c r="A144" s="20">
        <v>2026.0</v>
      </c>
      <c r="B144" s="20">
        <v>3.0</v>
      </c>
      <c r="C144" s="52" t="s">
        <v>135</v>
      </c>
      <c r="D144" s="20" t="s">
        <v>22</v>
      </c>
      <c r="E144" s="20" t="s">
        <v>22</v>
      </c>
      <c r="F144" s="20" t="s">
        <v>61</v>
      </c>
      <c r="G144" s="20">
        <v>22.0</v>
      </c>
      <c r="H144" s="20">
        <v>4.0</v>
      </c>
      <c r="I144" s="20">
        <v>88.0</v>
      </c>
    </row>
    <row r="145">
      <c r="A145" s="20">
        <v>2026.0</v>
      </c>
      <c r="B145" s="20">
        <v>1.0</v>
      </c>
      <c r="C145" s="52" t="s">
        <v>137</v>
      </c>
      <c r="D145" s="20" t="s">
        <v>138</v>
      </c>
      <c r="E145" s="20" t="s">
        <v>28</v>
      </c>
      <c r="F145" s="20" t="s">
        <v>61</v>
      </c>
      <c r="G145" s="20">
        <v>21.0</v>
      </c>
      <c r="H145" s="20">
        <v>14.6</v>
      </c>
      <c r="I145" s="20">
        <v>306.6</v>
      </c>
    </row>
    <row r="146">
      <c r="A146" s="20">
        <v>2026.0</v>
      </c>
      <c r="B146" s="20">
        <v>2.0</v>
      </c>
      <c r="C146" s="52" t="s">
        <v>137</v>
      </c>
      <c r="D146" s="20" t="s">
        <v>138</v>
      </c>
      <c r="E146" s="20" t="s">
        <v>28</v>
      </c>
      <c r="F146" s="20" t="s">
        <v>61</v>
      </c>
      <c r="G146" s="20">
        <v>20.0</v>
      </c>
      <c r="H146" s="20">
        <v>14.6</v>
      </c>
      <c r="I146" s="20">
        <v>292.0</v>
      </c>
    </row>
    <row r="147">
      <c r="A147" s="20">
        <v>2026.0</v>
      </c>
      <c r="B147" s="20">
        <v>3.0</v>
      </c>
      <c r="C147" s="52" t="s">
        <v>137</v>
      </c>
      <c r="D147" s="20" t="s">
        <v>138</v>
      </c>
      <c r="E147" s="20" t="s">
        <v>28</v>
      </c>
      <c r="F147" s="20" t="s">
        <v>61</v>
      </c>
      <c r="G147" s="20">
        <v>22.0</v>
      </c>
      <c r="H147" s="20">
        <v>14.6</v>
      </c>
      <c r="I147" s="20">
        <v>321.2</v>
      </c>
    </row>
    <row r="148">
      <c r="A148" s="20">
        <v>2026.0</v>
      </c>
      <c r="B148" s="20">
        <v>1.0</v>
      </c>
      <c r="C148" s="52" t="s">
        <v>139</v>
      </c>
      <c r="D148" s="20" t="s">
        <v>140</v>
      </c>
      <c r="E148" s="20" t="s">
        <v>21</v>
      </c>
      <c r="F148" s="20" t="s">
        <v>61</v>
      </c>
      <c r="G148" s="20">
        <v>19.0</v>
      </c>
      <c r="H148" s="20">
        <v>20.0</v>
      </c>
      <c r="I148" s="20">
        <v>380.0</v>
      </c>
    </row>
    <row r="149">
      <c r="A149" s="20">
        <v>2026.0</v>
      </c>
      <c r="B149" s="20">
        <v>2.0</v>
      </c>
      <c r="C149" s="52" t="s">
        <v>139</v>
      </c>
      <c r="D149" s="20" t="s">
        <v>140</v>
      </c>
      <c r="E149" s="20" t="s">
        <v>21</v>
      </c>
      <c r="F149" s="20" t="s">
        <v>61</v>
      </c>
      <c r="G149" s="20">
        <v>17.5</v>
      </c>
      <c r="H149" s="20">
        <v>20.0</v>
      </c>
      <c r="I149" s="20">
        <v>350.0</v>
      </c>
    </row>
    <row r="150">
      <c r="A150" s="20">
        <v>2026.0</v>
      </c>
      <c r="B150" s="20">
        <v>3.0</v>
      </c>
      <c r="C150" s="52" t="s">
        <v>139</v>
      </c>
      <c r="D150" s="20" t="s">
        <v>140</v>
      </c>
      <c r="E150" s="20" t="s">
        <v>21</v>
      </c>
      <c r="F150" s="20" t="s">
        <v>61</v>
      </c>
      <c r="G150" s="20">
        <v>21.5</v>
      </c>
      <c r="H150" s="20">
        <v>20.0</v>
      </c>
      <c r="I150" s="20">
        <v>430.0</v>
      </c>
    </row>
    <row r="151">
      <c r="A151" s="20">
        <v>2026.0</v>
      </c>
      <c r="B151" s="20">
        <v>1.0</v>
      </c>
      <c r="C151" s="52" t="s">
        <v>141</v>
      </c>
      <c r="D151" s="20" t="s">
        <v>142</v>
      </c>
      <c r="E151" s="20" t="s">
        <v>15</v>
      </c>
      <c r="F151" s="20" t="s">
        <v>61</v>
      </c>
      <c r="G151" s="20">
        <v>21.0</v>
      </c>
      <c r="H151" s="20">
        <v>17.7</v>
      </c>
      <c r="I151" s="20">
        <v>371.7</v>
      </c>
    </row>
    <row r="152">
      <c r="A152" s="20">
        <v>2026.0</v>
      </c>
      <c r="B152" s="20">
        <v>2.0</v>
      </c>
      <c r="C152" s="52" t="s">
        <v>141</v>
      </c>
      <c r="D152" s="20" t="s">
        <v>142</v>
      </c>
      <c r="E152" s="20" t="s">
        <v>15</v>
      </c>
      <c r="F152" s="20" t="s">
        <v>61</v>
      </c>
      <c r="G152" s="20">
        <v>20.0</v>
      </c>
      <c r="H152" s="20">
        <v>17.7</v>
      </c>
      <c r="I152" s="20">
        <v>354.0</v>
      </c>
    </row>
    <row r="153">
      <c r="A153" s="20">
        <v>2026.0</v>
      </c>
      <c r="B153" s="20">
        <v>3.0</v>
      </c>
      <c r="C153" s="52" t="s">
        <v>141</v>
      </c>
      <c r="D153" s="20" t="s">
        <v>142</v>
      </c>
      <c r="E153" s="20" t="s">
        <v>15</v>
      </c>
      <c r="F153" s="20" t="s">
        <v>61</v>
      </c>
      <c r="G153" s="20">
        <v>17.0</v>
      </c>
      <c r="H153" s="20">
        <v>17.7</v>
      </c>
      <c r="I153" s="20">
        <v>300.9</v>
      </c>
    </row>
    <row r="154">
      <c r="A154" s="20">
        <v>2026.0</v>
      </c>
      <c r="B154" s="20">
        <v>2.0</v>
      </c>
      <c r="C154" s="52" t="s">
        <v>84</v>
      </c>
      <c r="D154" s="20" t="s">
        <v>85</v>
      </c>
      <c r="E154" s="20" t="s">
        <v>28</v>
      </c>
      <c r="F154" s="20" t="s">
        <v>61</v>
      </c>
      <c r="G154" s="20">
        <v>9.0</v>
      </c>
      <c r="H154" s="20">
        <v>43.4</v>
      </c>
      <c r="I154" s="20">
        <v>390.6</v>
      </c>
    </row>
    <row r="155">
      <c r="A155" s="20">
        <v>2026.0</v>
      </c>
      <c r="B155" s="20">
        <v>3.0</v>
      </c>
      <c r="C155" s="52" t="s">
        <v>84</v>
      </c>
      <c r="D155" s="20" t="s">
        <v>85</v>
      </c>
      <c r="E155" s="20" t="s">
        <v>28</v>
      </c>
      <c r="F155" s="20" t="s">
        <v>61</v>
      </c>
      <c r="G155" s="20">
        <v>20.0</v>
      </c>
      <c r="H155" s="20">
        <v>43.4</v>
      </c>
      <c r="I155" s="20">
        <v>868.0</v>
      </c>
    </row>
    <row r="156">
      <c r="A156" s="20">
        <v>2026.0</v>
      </c>
      <c r="B156" s="20">
        <v>1.0</v>
      </c>
      <c r="C156" s="52" t="s">
        <v>62</v>
      </c>
      <c r="D156" s="20" t="s">
        <v>143</v>
      </c>
      <c r="E156" s="20" t="s">
        <v>15</v>
      </c>
      <c r="F156" s="20" t="s">
        <v>61</v>
      </c>
      <c r="G156" s="20">
        <v>19.0</v>
      </c>
      <c r="H156" s="20">
        <v>25.6</v>
      </c>
      <c r="I156" s="20">
        <v>486.4</v>
      </c>
    </row>
    <row r="157">
      <c r="A157" s="20">
        <v>2026.0</v>
      </c>
      <c r="B157" s="20">
        <v>1.0</v>
      </c>
      <c r="C157" s="52" t="s">
        <v>62</v>
      </c>
      <c r="D157" s="20" t="s">
        <v>143</v>
      </c>
      <c r="E157" s="20" t="s">
        <v>35</v>
      </c>
      <c r="F157" s="20" t="s">
        <v>61</v>
      </c>
      <c r="G157" s="20">
        <v>19.0</v>
      </c>
      <c r="H157" s="20">
        <v>5.9</v>
      </c>
      <c r="I157" s="20">
        <v>112.1</v>
      </c>
    </row>
    <row r="158">
      <c r="A158" s="20">
        <v>2026.0</v>
      </c>
      <c r="B158" s="20">
        <v>2.0</v>
      </c>
      <c r="C158" s="52" t="s">
        <v>62</v>
      </c>
      <c r="D158" s="20" t="s">
        <v>143</v>
      </c>
      <c r="E158" s="20" t="s">
        <v>15</v>
      </c>
      <c r="F158" s="20" t="s">
        <v>61</v>
      </c>
      <c r="G158" s="20">
        <v>20.0</v>
      </c>
      <c r="H158" s="20">
        <v>25.6</v>
      </c>
      <c r="I158" s="20">
        <v>512.0</v>
      </c>
    </row>
    <row r="159">
      <c r="A159" s="20">
        <v>2026.0</v>
      </c>
      <c r="B159" s="20">
        <v>2.0</v>
      </c>
      <c r="C159" s="52" t="s">
        <v>62</v>
      </c>
      <c r="D159" s="20" t="s">
        <v>143</v>
      </c>
      <c r="E159" s="20" t="s">
        <v>35</v>
      </c>
      <c r="F159" s="20" t="s">
        <v>61</v>
      </c>
      <c r="G159" s="20">
        <v>20.0</v>
      </c>
      <c r="H159" s="20">
        <v>5.9</v>
      </c>
      <c r="I159" s="20">
        <v>118.0</v>
      </c>
    </row>
    <row r="160">
      <c r="A160" s="20">
        <v>2026.0</v>
      </c>
      <c r="B160" s="20">
        <v>3.0</v>
      </c>
      <c r="C160" s="52" t="s">
        <v>62</v>
      </c>
      <c r="D160" s="20" t="s">
        <v>143</v>
      </c>
      <c r="E160" s="20" t="s">
        <v>15</v>
      </c>
      <c r="F160" s="20" t="s">
        <v>61</v>
      </c>
      <c r="G160" s="20">
        <v>21.0</v>
      </c>
      <c r="H160" s="20">
        <v>25.6</v>
      </c>
      <c r="I160" s="20">
        <v>537.6</v>
      </c>
    </row>
    <row r="161">
      <c r="A161" s="20">
        <v>2026.0</v>
      </c>
      <c r="B161" s="20">
        <v>3.0</v>
      </c>
      <c r="C161" s="52" t="s">
        <v>62</v>
      </c>
      <c r="D161" s="20" t="s">
        <v>143</v>
      </c>
      <c r="E161" s="20" t="s">
        <v>35</v>
      </c>
      <c r="F161" s="20" t="s">
        <v>61</v>
      </c>
      <c r="G161" s="20">
        <v>21.0</v>
      </c>
      <c r="H161" s="20">
        <v>5.9</v>
      </c>
      <c r="I161" s="20">
        <v>123.9</v>
      </c>
    </row>
    <row r="162">
      <c r="A162" s="20">
        <v>2026.0</v>
      </c>
      <c r="B162" s="20">
        <v>1.0</v>
      </c>
      <c r="C162" s="52" t="s">
        <v>144</v>
      </c>
      <c r="D162" s="20" t="s">
        <v>23</v>
      </c>
      <c r="E162" s="20" t="s">
        <v>23</v>
      </c>
      <c r="F162" s="20" t="s">
        <v>61</v>
      </c>
      <c r="G162" s="20">
        <v>21.0</v>
      </c>
      <c r="H162" s="20">
        <v>19.7</v>
      </c>
      <c r="I162" s="20">
        <v>413.7</v>
      </c>
    </row>
    <row r="163">
      <c r="A163" s="20">
        <v>2026.0</v>
      </c>
      <c r="B163" s="20">
        <v>2.0</v>
      </c>
      <c r="C163" s="52" t="s">
        <v>144</v>
      </c>
      <c r="D163" s="20" t="s">
        <v>23</v>
      </c>
      <c r="E163" s="20" t="s">
        <v>23</v>
      </c>
      <c r="F163" s="20" t="s">
        <v>61</v>
      </c>
      <c r="G163" s="20">
        <v>7.0</v>
      </c>
      <c r="H163" s="20">
        <v>19.7</v>
      </c>
      <c r="I163" s="20">
        <v>137.9</v>
      </c>
    </row>
    <row r="164">
      <c r="A164" s="20">
        <v>2026.0</v>
      </c>
      <c r="B164" s="20">
        <v>2.0</v>
      </c>
      <c r="C164" s="52" t="s">
        <v>144</v>
      </c>
      <c r="D164" s="20" t="s">
        <v>23</v>
      </c>
      <c r="E164" s="20" t="s">
        <v>23</v>
      </c>
      <c r="F164" s="20" t="s">
        <v>61</v>
      </c>
      <c r="G164" s="20">
        <v>8.0</v>
      </c>
      <c r="H164" s="20">
        <v>19.7</v>
      </c>
      <c r="I164" s="20">
        <v>157.6</v>
      </c>
    </row>
    <row r="165">
      <c r="A165" s="20">
        <v>2026.0</v>
      </c>
      <c r="B165" s="20">
        <v>3.0</v>
      </c>
      <c r="C165" s="52" t="s">
        <v>144</v>
      </c>
      <c r="D165" s="20" t="s">
        <v>23</v>
      </c>
      <c r="E165" s="20" t="s">
        <v>23</v>
      </c>
      <c r="F165" s="20" t="s">
        <v>61</v>
      </c>
      <c r="G165" s="20">
        <v>22.0</v>
      </c>
      <c r="H165" s="20">
        <v>19.7</v>
      </c>
      <c r="I165" s="20">
        <v>433.4</v>
      </c>
    </row>
    <row r="166">
      <c r="A166" s="20">
        <v>2026.0</v>
      </c>
      <c r="B166" s="20">
        <v>1.0</v>
      </c>
      <c r="C166" s="52" t="s">
        <v>145</v>
      </c>
      <c r="D166" s="20" t="s">
        <v>24</v>
      </c>
      <c r="E166" s="20" t="s">
        <v>48</v>
      </c>
      <c r="F166" s="20" t="s">
        <v>61</v>
      </c>
      <c r="G166" s="20">
        <v>19.0</v>
      </c>
      <c r="H166" s="20">
        <v>26.9</v>
      </c>
      <c r="I166" s="20">
        <v>511.1</v>
      </c>
    </row>
    <row r="167">
      <c r="A167" s="20">
        <v>2026.0</v>
      </c>
      <c r="B167" s="20">
        <v>2.0</v>
      </c>
      <c r="C167" s="52" t="s">
        <v>145</v>
      </c>
      <c r="D167" s="20" t="s">
        <v>24</v>
      </c>
      <c r="E167" s="20" t="s">
        <v>48</v>
      </c>
      <c r="F167" s="20" t="s">
        <v>61</v>
      </c>
      <c r="G167" s="20">
        <v>17.0</v>
      </c>
      <c r="H167" s="20">
        <v>26.9</v>
      </c>
      <c r="I167" s="20">
        <v>457.3</v>
      </c>
    </row>
    <row r="168">
      <c r="A168" s="20">
        <v>2026.0</v>
      </c>
      <c r="B168" s="20">
        <v>3.0</v>
      </c>
      <c r="C168" s="52" t="s">
        <v>145</v>
      </c>
      <c r="D168" s="20" t="s">
        <v>24</v>
      </c>
      <c r="E168" s="20" t="s">
        <v>48</v>
      </c>
      <c r="F168" s="20" t="s">
        <v>61</v>
      </c>
      <c r="G168" s="20">
        <v>15.5</v>
      </c>
      <c r="H168" s="20">
        <v>26.9</v>
      </c>
      <c r="I168" s="20">
        <v>416.95</v>
      </c>
    </row>
    <row r="169">
      <c r="A169" s="20">
        <v>2026.0</v>
      </c>
      <c r="B169" s="20">
        <v>1.0</v>
      </c>
      <c r="C169" s="52" t="s">
        <v>146</v>
      </c>
      <c r="D169" s="20" t="s">
        <v>147</v>
      </c>
      <c r="E169" s="20" t="s">
        <v>28</v>
      </c>
      <c r="F169" s="20" t="s">
        <v>61</v>
      </c>
      <c r="G169" s="20">
        <v>17.5</v>
      </c>
      <c r="H169" s="20">
        <v>16.5</v>
      </c>
      <c r="I169" s="20">
        <v>288.75</v>
      </c>
    </row>
    <row r="170">
      <c r="A170" s="20">
        <v>2026.0</v>
      </c>
      <c r="B170" s="20">
        <v>2.0</v>
      </c>
      <c r="C170" s="52" t="s">
        <v>146</v>
      </c>
      <c r="D170" s="20" t="s">
        <v>147</v>
      </c>
      <c r="E170" s="20" t="s">
        <v>28</v>
      </c>
      <c r="F170" s="20" t="s">
        <v>61</v>
      </c>
      <c r="G170" s="20">
        <v>13.0</v>
      </c>
      <c r="H170" s="20">
        <v>16.5</v>
      </c>
      <c r="I170" s="20">
        <v>214.5</v>
      </c>
    </row>
    <row r="171">
      <c r="A171" s="20">
        <v>2026.0</v>
      </c>
      <c r="B171" s="20">
        <v>3.0</v>
      </c>
      <c r="C171" s="52" t="s">
        <v>146</v>
      </c>
      <c r="D171" s="20" t="s">
        <v>147</v>
      </c>
      <c r="E171" s="20" t="s">
        <v>28</v>
      </c>
      <c r="F171" s="20" t="s">
        <v>61</v>
      </c>
      <c r="G171" s="20">
        <v>22.0</v>
      </c>
      <c r="H171" s="20">
        <v>16.5</v>
      </c>
      <c r="I171" s="20">
        <v>363.0</v>
      </c>
    </row>
    <row r="172">
      <c r="A172" s="20">
        <v>2026.0</v>
      </c>
      <c r="B172" s="20">
        <v>1.0</v>
      </c>
      <c r="C172" s="52" t="s">
        <v>148</v>
      </c>
      <c r="D172" s="20" t="s">
        <v>25</v>
      </c>
      <c r="E172" s="20" t="s">
        <v>25</v>
      </c>
      <c r="F172" s="20" t="s">
        <v>61</v>
      </c>
      <c r="G172" s="20">
        <v>38.0</v>
      </c>
      <c r="H172" s="20">
        <v>13.7</v>
      </c>
      <c r="I172" s="20">
        <v>520.6</v>
      </c>
    </row>
    <row r="173">
      <c r="A173" s="20">
        <v>2026.0</v>
      </c>
      <c r="B173" s="20">
        <v>1.0</v>
      </c>
      <c r="C173" s="52" t="s">
        <v>148</v>
      </c>
      <c r="D173" s="20" t="s">
        <v>25</v>
      </c>
      <c r="E173" s="20" t="s">
        <v>28</v>
      </c>
      <c r="F173" s="20" t="s">
        <v>61</v>
      </c>
      <c r="G173" s="20">
        <v>19.0</v>
      </c>
      <c r="H173" s="20">
        <v>3.4</v>
      </c>
      <c r="I173" s="20">
        <v>64.6</v>
      </c>
    </row>
    <row r="174">
      <c r="A174" s="20">
        <v>2026.0</v>
      </c>
      <c r="B174" s="20">
        <v>2.0</v>
      </c>
      <c r="C174" s="52" t="s">
        <v>148</v>
      </c>
      <c r="D174" s="20" t="s">
        <v>25</v>
      </c>
      <c r="E174" s="20" t="s">
        <v>25</v>
      </c>
      <c r="F174" s="20" t="s">
        <v>61</v>
      </c>
      <c r="G174" s="20">
        <v>44.0</v>
      </c>
      <c r="H174" s="20">
        <v>13.7</v>
      </c>
      <c r="I174" s="20">
        <v>602.8</v>
      </c>
    </row>
    <row r="175">
      <c r="A175" s="20">
        <v>2026.0</v>
      </c>
      <c r="B175" s="20">
        <v>2.0</v>
      </c>
      <c r="C175" s="52" t="s">
        <v>148</v>
      </c>
      <c r="D175" s="20" t="s">
        <v>25</v>
      </c>
      <c r="E175" s="20" t="s">
        <v>28</v>
      </c>
      <c r="F175" s="20" t="s">
        <v>61</v>
      </c>
      <c r="G175" s="20">
        <v>22.0</v>
      </c>
      <c r="H175" s="20">
        <v>3.4</v>
      </c>
      <c r="I175" s="20">
        <v>74.8</v>
      </c>
    </row>
    <row r="176">
      <c r="A176" s="20">
        <v>2026.0</v>
      </c>
      <c r="B176" s="20">
        <v>3.0</v>
      </c>
      <c r="C176" s="52" t="s">
        <v>148</v>
      </c>
      <c r="D176" s="20" t="s">
        <v>25</v>
      </c>
      <c r="E176" s="20" t="s">
        <v>25</v>
      </c>
      <c r="F176" s="20" t="s">
        <v>61</v>
      </c>
      <c r="G176" s="20">
        <v>28.0</v>
      </c>
      <c r="H176" s="20">
        <v>13.7</v>
      </c>
      <c r="I176" s="20">
        <v>383.6</v>
      </c>
    </row>
    <row r="177">
      <c r="A177" s="20">
        <v>2026.0</v>
      </c>
      <c r="B177" s="20">
        <v>3.0</v>
      </c>
      <c r="C177" s="52" t="s">
        <v>148</v>
      </c>
      <c r="D177" s="20" t="s">
        <v>25</v>
      </c>
      <c r="E177" s="20" t="s">
        <v>28</v>
      </c>
      <c r="F177" s="20" t="s">
        <v>61</v>
      </c>
      <c r="G177" s="20">
        <v>14.0</v>
      </c>
      <c r="H177" s="20">
        <v>3.4</v>
      </c>
      <c r="I177" s="20">
        <v>47.6</v>
      </c>
    </row>
    <row r="178">
      <c r="A178" s="20">
        <v>2026.0</v>
      </c>
      <c r="B178" s="20">
        <v>1.0</v>
      </c>
      <c r="C178" s="52" t="s">
        <v>149</v>
      </c>
      <c r="D178" s="20" t="s">
        <v>150</v>
      </c>
      <c r="E178" s="20" t="s">
        <v>25</v>
      </c>
      <c r="F178" s="20" t="s">
        <v>61</v>
      </c>
      <c r="G178" s="20">
        <v>13.0</v>
      </c>
      <c r="H178" s="20">
        <v>3.1</v>
      </c>
      <c r="I178" s="20">
        <v>40.3</v>
      </c>
    </row>
    <row r="179">
      <c r="A179" s="20">
        <v>2026.0</v>
      </c>
      <c r="B179" s="20">
        <v>1.0</v>
      </c>
      <c r="C179" s="52" t="s">
        <v>149</v>
      </c>
      <c r="D179" s="20" t="s">
        <v>150</v>
      </c>
      <c r="E179" s="20" t="s">
        <v>28</v>
      </c>
      <c r="F179" s="20" t="s">
        <v>61</v>
      </c>
      <c r="G179" s="20">
        <v>13.0</v>
      </c>
      <c r="H179" s="20">
        <v>3.1</v>
      </c>
      <c r="I179" s="20">
        <v>40.3</v>
      </c>
    </row>
    <row r="180">
      <c r="A180" s="20">
        <v>2026.0</v>
      </c>
      <c r="B180" s="20">
        <v>2.0</v>
      </c>
      <c r="C180" s="52" t="s">
        <v>149</v>
      </c>
      <c r="D180" s="20" t="s">
        <v>150</v>
      </c>
      <c r="E180" s="20" t="s">
        <v>25</v>
      </c>
      <c r="F180" s="20" t="s">
        <v>61</v>
      </c>
      <c r="G180" s="20">
        <v>18.5</v>
      </c>
      <c r="H180" s="20">
        <v>3.1</v>
      </c>
      <c r="I180" s="20">
        <v>57.35</v>
      </c>
    </row>
    <row r="181">
      <c r="A181" s="20">
        <v>2026.0</v>
      </c>
      <c r="B181" s="20">
        <v>2.0</v>
      </c>
      <c r="C181" s="52" t="s">
        <v>149</v>
      </c>
      <c r="D181" s="20" t="s">
        <v>150</v>
      </c>
      <c r="E181" s="20" t="s">
        <v>28</v>
      </c>
      <c r="F181" s="20" t="s">
        <v>61</v>
      </c>
      <c r="G181" s="20">
        <v>18.5</v>
      </c>
      <c r="H181" s="20">
        <v>3.1</v>
      </c>
      <c r="I181" s="20">
        <v>57.35</v>
      </c>
    </row>
    <row r="182">
      <c r="A182" s="20">
        <v>2026.0</v>
      </c>
      <c r="B182" s="20">
        <v>3.0</v>
      </c>
      <c r="C182" s="52" t="s">
        <v>149</v>
      </c>
      <c r="D182" s="20" t="s">
        <v>150</v>
      </c>
      <c r="E182" s="20" t="s">
        <v>25</v>
      </c>
      <c r="F182" s="20" t="s">
        <v>61</v>
      </c>
      <c r="G182" s="20">
        <v>21.0</v>
      </c>
      <c r="H182" s="20">
        <v>3.1</v>
      </c>
      <c r="I182" s="20">
        <v>65.1</v>
      </c>
    </row>
    <row r="183">
      <c r="A183" s="20">
        <v>2026.0</v>
      </c>
      <c r="B183" s="20">
        <v>3.0</v>
      </c>
      <c r="C183" s="52" t="s">
        <v>149</v>
      </c>
      <c r="D183" s="20" t="s">
        <v>150</v>
      </c>
      <c r="E183" s="20" t="s">
        <v>28</v>
      </c>
      <c r="F183" s="20" t="s">
        <v>61</v>
      </c>
      <c r="G183" s="20">
        <v>21.0</v>
      </c>
      <c r="H183" s="20">
        <v>3.1</v>
      </c>
      <c r="I183" s="20">
        <v>65.1</v>
      </c>
    </row>
    <row r="184">
      <c r="A184" s="20">
        <v>2026.0</v>
      </c>
      <c r="B184" s="20">
        <v>1.0</v>
      </c>
      <c r="C184" s="52" t="s">
        <v>151</v>
      </c>
      <c r="D184" s="20" t="s">
        <v>152</v>
      </c>
      <c r="E184" s="20" t="s">
        <v>17</v>
      </c>
      <c r="F184" s="20" t="s">
        <v>61</v>
      </c>
      <c r="G184" s="20">
        <v>18.5</v>
      </c>
      <c r="H184" s="20">
        <v>4.5</v>
      </c>
      <c r="I184" s="20">
        <v>83.25</v>
      </c>
    </row>
    <row r="185">
      <c r="A185" s="20">
        <v>2026.0</v>
      </c>
      <c r="B185" s="20">
        <v>2.0</v>
      </c>
      <c r="C185" s="52" t="s">
        <v>151</v>
      </c>
      <c r="D185" s="20" t="s">
        <v>152</v>
      </c>
      <c r="E185" s="20" t="s">
        <v>17</v>
      </c>
      <c r="F185" s="20" t="s">
        <v>61</v>
      </c>
      <c r="G185" s="20">
        <v>14.0</v>
      </c>
      <c r="H185" s="20">
        <v>4.5</v>
      </c>
      <c r="I185" s="20">
        <v>63.0</v>
      </c>
    </row>
    <row r="186">
      <c r="A186" s="20">
        <v>2026.0</v>
      </c>
      <c r="B186" s="20">
        <v>3.0</v>
      </c>
      <c r="C186" s="52" t="s">
        <v>151</v>
      </c>
      <c r="D186" s="20" t="s">
        <v>152</v>
      </c>
      <c r="E186" s="20" t="s">
        <v>17</v>
      </c>
      <c r="F186" s="20" t="s">
        <v>61</v>
      </c>
      <c r="G186" s="20">
        <v>17.0</v>
      </c>
      <c r="H186" s="20">
        <v>4.5</v>
      </c>
      <c r="I186" s="20">
        <v>76.5</v>
      </c>
    </row>
    <row r="187">
      <c r="A187" s="20">
        <v>2026.0</v>
      </c>
      <c r="B187" s="20">
        <v>3.0</v>
      </c>
      <c r="C187" s="52" t="s">
        <v>153</v>
      </c>
      <c r="D187" s="20" t="s">
        <v>154</v>
      </c>
      <c r="E187" s="20" t="s">
        <v>15</v>
      </c>
      <c r="F187" s="20" t="s">
        <v>61</v>
      </c>
      <c r="G187" s="20">
        <v>5.0</v>
      </c>
      <c r="H187" s="20">
        <v>64.1</v>
      </c>
      <c r="I187" s="20">
        <v>320.5</v>
      </c>
    </row>
    <row r="188">
      <c r="A188" s="20">
        <v>2026.0</v>
      </c>
      <c r="B188" s="20">
        <v>2.0</v>
      </c>
      <c r="C188" s="52" t="s">
        <v>155</v>
      </c>
      <c r="D188" s="20" t="s">
        <v>156</v>
      </c>
      <c r="E188" s="20" t="s">
        <v>15</v>
      </c>
      <c r="F188" s="20" t="s">
        <v>61</v>
      </c>
      <c r="G188" s="20">
        <v>20.0</v>
      </c>
      <c r="H188" s="20">
        <v>10.0</v>
      </c>
      <c r="I188" s="20">
        <v>200.0</v>
      </c>
    </row>
    <row r="189">
      <c r="A189" s="20">
        <v>2026.0</v>
      </c>
      <c r="B189" s="20">
        <v>3.0</v>
      </c>
      <c r="C189" s="52" t="s">
        <v>155</v>
      </c>
      <c r="D189" s="20" t="s">
        <v>156</v>
      </c>
      <c r="E189" s="20" t="s">
        <v>15</v>
      </c>
      <c r="F189" s="20" t="s">
        <v>61</v>
      </c>
      <c r="G189" s="20">
        <v>19.5</v>
      </c>
      <c r="H189" s="20">
        <v>10.0</v>
      </c>
      <c r="I189" s="20">
        <v>195.0</v>
      </c>
    </row>
    <row r="190">
      <c r="A190" s="20">
        <v>2026.0</v>
      </c>
      <c r="B190" s="20">
        <v>1.0</v>
      </c>
      <c r="C190" s="52" t="s">
        <v>157</v>
      </c>
      <c r="D190" s="20" t="s">
        <v>158</v>
      </c>
      <c r="E190" s="20" t="s">
        <v>28</v>
      </c>
      <c r="F190" s="20" t="s">
        <v>61</v>
      </c>
      <c r="G190" s="20">
        <v>21.0</v>
      </c>
      <c r="H190" s="20">
        <v>4.8</v>
      </c>
      <c r="I190" s="20">
        <v>100.8</v>
      </c>
    </row>
    <row r="191">
      <c r="A191" s="20">
        <v>2026.0</v>
      </c>
      <c r="B191" s="20">
        <v>2.0</v>
      </c>
      <c r="C191" s="52" t="s">
        <v>157</v>
      </c>
      <c r="D191" s="20" t="s">
        <v>158</v>
      </c>
      <c r="E191" s="20" t="s">
        <v>28</v>
      </c>
      <c r="F191" s="20" t="s">
        <v>61</v>
      </c>
      <c r="G191" s="20">
        <v>20.0</v>
      </c>
      <c r="H191" s="20">
        <v>4.8</v>
      </c>
      <c r="I191" s="20">
        <v>96.0</v>
      </c>
    </row>
    <row r="192">
      <c r="A192" s="20">
        <v>2026.0</v>
      </c>
      <c r="B192" s="20">
        <v>3.0</v>
      </c>
      <c r="C192" s="52" t="s">
        <v>157</v>
      </c>
      <c r="D192" s="20" t="s">
        <v>158</v>
      </c>
      <c r="E192" s="20" t="s">
        <v>28</v>
      </c>
      <c r="F192" s="20" t="s">
        <v>61</v>
      </c>
      <c r="G192" s="20">
        <v>21.5</v>
      </c>
      <c r="H192" s="20">
        <v>4.8</v>
      </c>
      <c r="I192" s="20">
        <v>103.2</v>
      </c>
    </row>
    <row r="193">
      <c r="A193" s="20">
        <v>2026.0</v>
      </c>
      <c r="B193" s="20">
        <v>1.0</v>
      </c>
      <c r="C193" s="52" t="s">
        <v>159</v>
      </c>
      <c r="D193" s="20" t="s">
        <v>26</v>
      </c>
      <c r="E193" s="20" t="s">
        <v>26</v>
      </c>
      <c r="F193" s="20" t="s">
        <v>61</v>
      </c>
      <c r="G193" s="20">
        <v>2.0</v>
      </c>
      <c r="H193" s="20">
        <v>16.5</v>
      </c>
      <c r="I193" s="20">
        <v>33.0</v>
      </c>
    </row>
    <row r="194">
      <c r="A194" s="20">
        <v>2026.0</v>
      </c>
      <c r="B194" s="20">
        <v>1.0</v>
      </c>
      <c r="C194" s="52" t="s">
        <v>160</v>
      </c>
      <c r="D194" s="20" t="s">
        <v>26</v>
      </c>
      <c r="E194" s="20" t="s">
        <v>35</v>
      </c>
      <c r="F194" s="20" t="s">
        <v>61</v>
      </c>
      <c r="G194" s="20">
        <v>16.0</v>
      </c>
      <c r="H194" s="20">
        <v>18.7</v>
      </c>
      <c r="I194" s="20">
        <v>299.2</v>
      </c>
    </row>
    <row r="195">
      <c r="A195" s="20">
        <v>2026.0</v>
      </c>
      <c r="B195" s="20">
        <v>2.0</v>
      </c>
      <c r="C195" s="52" t="s">
        <v>160</v>
      </c>
      <c r="D195" s="20" t="s">
        <v>26</v>
      </c>
      <c r="E195" s="20" t="s">
        <v>35</v>
      </c>
      <c r="F195" s="20" t="s">
        <v>61</v>
      </c>
      <c r="G195" s="20">
        <v>15.0</v>
      </c>
      <c r="H195" s="20">
        <v>18.7</v>
      </c>
      <c r="I195" s="20">
        <v>280.5</v>
      </c>
    </row>
    <row r="196">
      <c r="A196" s="20">
        <v>2026.0</v>
      </c>
      <c r="B196" s="20">
        <v>3.0</v>
      </c>
      <c r="C196" s="52" t="s">
        <v>159</v>
      </c>
      <c r="D196" s="20" t="s">
        <v>26</v>
      </c>
      <c r="E196" s="20" t="s">
        <v>26</v>
      </c>
      <c r="F196" s="20" t="s">
        <v>61</v>
      </c>
      <c r="G196" s="20">
        <v>1.0</v>
      </c>
      <c r="H196" s="20">
        <v>16.5</v>
      </c>
      <c r="I196" s="20">
        <v>16.5</v>
      </c>
    </row>
    <row r="197">
      <c r="A197" s="20">
        <v>2026.0</v>
      </c>
      <c r="B197" s="20">
        <v>3.0</v>
      </c>
      <c r="C197" s="52" t="s">
        <v>160</v>
      </c>
      <c r="D197" s="20" t="s">
        <v>26</v>
      </c>
      <c r="E197" s="20" t="s">
        <v>35</v>
      </c>
      <c r="F197" s="20" t="s">
        <v>61</v>
      </c>
      <c r="G197" s="20">
        <v>21.0</v>
      </c>
      <c r="H197" s="20">
        <v>18.7</v>
      </c>
      <c r="I197" s="20">
        <v>392.7</v>
      </c>
    </row>
    <row r="198">
      <c r="A198" s="20">
        <v>2026.0</v>
      </c>
      <c r="B198" s="20">
        <v>1.0</v>
      </c>
      <c r="C198" s="52" t="s">
        <v>161</v>
      </c>
      <c r="D198" s="20" t="s">
        <v>162</v>
      </c>
      <c r="E198" s="20" t="s">
        <v>28</v>
      </c>
      <c r="F198" s="20" t="s">
        <v>61</v>
      </c>
      <c r="G198" s="20">
        <v>21.0</v>
      </c>
      <c r="H198" s="20">
        <v>13.5</v>
      </c>
      <c r="I198" s="20">
        <v>283.5</v>
      </c>
    </row>
    <row r="199">
      <c r="A199" s="20">
        <v>2026.0</v>
      </c>
      <c r="B199" s="20">
        <v>2.0</v>
      </c>
      <c r="C199" s="52" t="s">
        <v>161</v>
      </c>
      <c r="D199" s="20" t="s">
        <v>162</v>
      </c>
      <c r="E199" s="20" t="s">
        <v>28</v>
      </c>
      <c r="F199" s="20" t="s">
        <v>61</v>
      </c>
      <c r="G199" s="20">
        <v>11.5</v>
      </c>
      <c r="H199" s="20">
        <v>13.5</v>
      </c>
      <c r="I199" s="20">
        <v>155.25</v>
      </c>
    </row>
    <row r="200">
      <c r="A200" s="20">
        <v>2026.0</v>
      </c>
      <c r="B200" s="20">
        <v>3.0</v>
      </c>
      <c r="C200" s="52" t="s">
        <v>161</v>
      </c>
      <c r="D200" s="20" t="s">
        <v>162</v>
      </c>
      <c r="E200" s="20" t="s">
        <v>28</v>
      </c>
      <c r="F200" s="20" t="s">
        <v>61</v>
      </c>
      <c r="G200" s="20">
        <v>22.0</v>
      </c>
      <c r="H200" s="20">
        <v>13.5</v>
      </c>
      <c r="I200" s="20">
        <v>297.0</v>
      </c>
    </row>
    <row r="201">
      <c r="A201" s="20">
        <v>2026.0</v>
      </c>
      <c r="B201" s="20">
        <v>2.0</v>
      </c>
      <c r="C201" s="52" t="s">
        <v>163</v>
      </c>
      <c r="D201" s="20" t="s">
        <v>164</v>
      </c>
      <c r="E201" s="20" t="s">
        <v>28</v>
      </c>
      <c r="F201" s="20" t="s">
        <v>61</v>
      </c>
      <c r="G201" s="20">
        <v>12.5</v>
      </c>
      <c r="H201" s="20">
        <v>18.0</v>
      </c>
      <c r="I201" s="20">
        <v>225.0</v>
      </c>
    </row>
    <row r="202">
      <c r="A202" s="20">
        <v>2026.0</v>
      </c>
      <c r="B202" s="20">
        <v>3.0</v>
      </c>
      <c r="C202" s="52" t="s">
        <v>163</v>
      </c>
      <c r="D202" s="20" t="s">
        <v>164</v>
      </c>
      <c r="E202" s="20" t="s">
        <v>28</v>
      </c>
      <c r="F202" s="20" t="s">
        <v>61</v>
      </c>
      <c r="G202" s="20">
        <v>17.5</v>
      </c>
      <c r="H202" s="20">
        <v>18.0</v>
      </c>
      <c r="I202" s="20">
        <v>315.0</v>
      </c>
    </row>
    <row r="203">
      <c r="A203" s="20">
        <v>2026.0</v>
      </c>
      <c r="B203" s="20">
        <v>1.0</v>
      </c>
      <c r="C203" s="52" t="s">
        <v>163</v>
      </c>
      <c r="D203" s="20" t="s">
        <v>164</v>
      </c>
      <c r="E203" s="20" t="s">
        <v>28</v>
      </c>
      <c r="F203" s="20" t="s">
        <v>61</v>
      </c>
      <c r="G203" s="20">
        <v>21.0</v>
      </c>
      <c r="H203" s="20">
        <v>18.0</v>
      </c>
      <c r="I203" s="20">
        <v>378.0</v>
      </c>
    </row>
    <row r="204">
      <c r="A204" s="20">
        <v>2026.0</v>
      </c>
      <c r="B204" s="20">
        <v>2.0</v>
      </c>
      <c r="C204" s="52" t="s">
        <v>163</v>
      </c>
      <c r="D204" s="20" t="s">
        <v>164</v>
      </c>
      <c r="E204" s="20" t="s">
        <v>28</v>
      </c>
      <c r="F204" s="20" t="s">
        <v>61</v>
      </c>
      <c r="G204" s="20">
        <v>2.0</v>
      </c>
      <c r="H204" s="20">
        <v>18.0</v>
      </c>
      <c r="I204" s="20">
        <v>36.0</v>
      </c>
    </row>
    <row r="205">
      <c r="A205" s="20">
        <v>2026.0</v>
      </c>
      <c r="B205" s="20">
        <v>2.0</v>
      </c>
      <c r="C205" s="52" t="s">
        <v>165</v>
      </c>
      <c r="D205" s="20" t="s">
        <v>166</v>
      </c>
      <c r="E205" s="20" t="s">
        <v>23</v>
      </c>
      <c r="F205" s="20" t="s">
        <v>61</v>
      </c>
      <c r="G205" s="20">
        <v>14.0</v>
      </c>
      <c r="H205" s="20">
        <v>9.0</v>
      </c>
      <c r="I205" s="20">
        <v>126.0</v>
      </c>
    </row>
    <row r="206">
      <c r="A206" s="20">
        <v>2026.0</v>
      </c>
      <c r="B206" s="20">
        <v>2.0</v>
      </c>
      <c r="C206" s="52" t="s">
        <v>165</v>
      </c>
      <c r="D206" s="20" t="s">
        <v>166</v>
      </c>
      <c r="E206" s="20" t="s">
        <v>34</v>
      </c>
      <c r="F206" s="20" t="s">
        <v>61</v>
      </c>
      <c r="G206" s="20">
        <v>14.0</v>
      </c>
      <c r="H206" s="20">
        <v>5.0</v>
      </c>
      <c r="I206" s="20">
        <v>70.0</v>
      </c>
    </row>
    <row r="207">
      <c r="A207" s="20">
        <v>2026.0</v>
      </c>
      <c r="B207" s="20">
        <v>3.0</v>
      </c>
      <c r="C207" s="52" t="s">
        <v>165</v>
      </c>
      <c r="D207" s="20" t="s">
        <v>166</v>
      </c>
      <c r="E207" s="20" t="s">
        <v>23</v>
      </c>
      <c r="F207" s="20" t="s">
        <v>61</v>
      </c>
      <c r="G207" s="20">
        <v>22.0</v>
      </c>
      <c r="H207" s="20">
        <v>9.0</v>
      </c>
      <c r="I207" s="20">
        <v>198.0</v>
      </c>
    </row>
    <row r="208">
      <c r="A208" s="20">
        <v>2026.0</v>
      </c>
      <c r="B208" s="20">
        <v>3.0</v>
      </c>
      <c r="C208" s="52" t="s">
        <v>165</v>
      </c>
      <c r="D208" s="20" t="s">
        <v>166</v>
      </c>
      <c r="E208" s="20" t="s">
        <v>34</v>
      </c>
      <c r="F208" s="20" t="s">
        <v>61</v>
      </c>
      <c r="G208" s="20">
        <v>22.0</v>
      </c>
      <c r="H208" s="20">
        <v>5.0</v>
      </c>
      <c r="I208" s="20">
        <v>110.0</v>
      </c>
    </row>
    <row r="209">
      <c r="A209" s="20">
        <v>2026.0</v>
      </c>
      <c r="B209" s="20">
        <v>1.0</v>
      </c>
      <c r="C209" s="52" t="s">
        <v>167</v>
      </c>
      <c r="D209" s="20" t="s">
        <v>168</v>
      </c>
      <c r="E209" s="20" t="s">
        <v>15</v>
      </c>
      <c r="F209" s="20" t="s">
        <v>61</v>
      </c>
      <c r="G209" s="20">
        <v>17.0</v>
      </c>
      <c r="H209" s="20">
        <v>12.3</v>
      </c>
      <c r="I209" s="20">
        <v>209.1</v>
      </c>
    </row>
    <row r="210">
      <c r="A210" s="20">
        <v>2026.0</v>
      </c>
      <c r="B210" s="20">
        <v>1.0</v>
      </c>
      <c r="C210" s="52" t="s">
        <v>167</v>
      </c>
      <c r="D210" s="20" t="s">
        <v>168</v>
      </c>
      <c r="E210" s="20" t="s">
        <v>43</v>
      </c>
      <c r="F210" s="20" t="s">
        <v>61</v>
      </c>
      <c r="G210" s="20">
        <v>17.0</v>
      </c>
      <c r="H210" s="20">
        <v>6.1</v>
      </c>
      <c r="I210" s="20">
        <v>103.7</v>
      </c>
    </row>
    <row r="211">
      <c r="A211" s="20">
        <v>2026.0</v>
      </c>
      <c r="B211" s="20">
        <v>2.0</v>
      </c>
      <c r="C211" s="52" t="s">
        <v>167</v>
      </c>
      <c r="D211" s="20" t="s">
        <v>168</v>
      </c>
      <c r="E211" s="20" t="s">
        <v>15</v>
      </c>
      <c r="F211" s="20" t="s">
        <v>61</v>
      </c>
      <c r="G211" s="20">
        <v>12.5</v>
      </c>
      <c r="H211" s="20">
        <v>12.3</v>
      </c>
      <c r="I211" s="20">
        <v>153.75</v>
      </c>
    </row>
    <row r="212">
      <c r="A212" s="20">
        <v>2026.0</v>
      </c>
      <c r="B212" s="20">
        <v>2.0</v>
      </c>
      <c r="C212" s="52" t="s">
        <v>167</v>
      </c>
      <c r="D212" s="20" t="s">
        <v>168</v>
      </c>
      <c r="E212" s="20" t="s">
        <v>43</v>
      </c>
      <c r="F212" s="20" t="s">
        <v>61</v>
      </c>
      <c r="G212" s="20">
        <v>12.5</v>
      </c>
      <c r="H212" s="20">
        <v>6.1</v>
      </c>
      <c r="I212" s="20">
        <v>76.25</v>
      </c>
    </row>
    <row r="213">
      <c r="A213" s="20">
        <v>2026.0</v>
      </c>
      <c r="B213" s="20">
        <v>3.0</v>
      </c>
      <c r="C213" s="52" t="s">
        <v>167</v>
      </c>
      <c r="D213" s="20" t="s">
        <v>168</v>
      </c>
      <c r="E213" s="20" t="s">
        <v>15</v>
      </c>
      <c r="F213" s="20" t="s">
        <v>61</v>
      </c>
      <c r="G213" s="20">
        <v>9.5</v>
      </c>
      <c r="H213" s="20">
        <v>12.3</v>
      </c>
      <c r="I213" s="20">
        <v>116.85</v>
      </c>
    </row>
    <row r="214">
      <c r="A214" s="20">
        <v>2026.0</v>
      </c>
      <c r="B214" s="20">
        <v>3.0</v>
      </c>
      <c r="C214" s="52" t="s">
        <v>167</v>
      </c>
      <c r="D214" s="20" t="s">
        <v>168</v>
      </c>
      <c r="E214" s="20" t="s">
        <v>15</v>
      </c>
      <c r="F214" s="20" t="s">
        <v>61</v>
      </c>
      <c r="G214" s="20">
        <v>10.5</v>
      </c>
      <c r="H214" s="20">
        <v>12.3</v>
      </c>
      <c r="I214" s="20">
        <v>129.15</v>
      </c>
    </row>
    <row r="215">
      <c r="A215" s="20">
        <v>2026.0</v>
      </c>
      <c r="B215" s="20">
        <v>3.0</v>
      </c>
      <c r="C215" s="52" t="s">
        <v>167</v>
      </c>
      <c r="D215" s="20" t="s">
        <v>168</v>
      </c>
      <c r="E215" s="20" t="s">
        <v>43</v>
      </c>
      <c r="F215" s="20" t="s">
        <v>61</v>
      </c>
      <c r="G215" s="20">
        <v>9.5</v>
      </c>
      <c r="H215" s="20">
        <v>6.1</v>
      </c>
      <c r="I215" s="20">
        <v>57.95</v>
      </c>
    </row>
    <row r="216">
      <c r="A216" s="20">
        <v>2026.0</v>
      </c>
      <c r="B216" s="20">
        <v>3.0</v>
      </c>
      <c r="C216" s="52" t="s">
        <v>167</v>
      </c>
      <c r="D216" s="20" t="s">
        <v>168</v>
      </c>
      <c r="E216" s="20" t="s">
        <v>43</v>
      </c>
      <c r="F216" s="20" t="s">
        <v>61</v>
      </c>
      <c r="G216" s="20">
        <v>10.5</v>
      </c>
      <c r="H216" s="20">
        <v>6.1</v>
      </c>
      <c r="I216" s="20">
        <v>64.05</v>
      </c>
    </row>
    <row r="217">
      <c r="A217" s="20">
        <v>2026.0</v>
      </c>
      <c r="B217" s="20">
        <v>1.0</v>
      </c>
      <c r="C217" s="52" t="s">
        <v>80</v>
      </c>
      <c r="D217" s="20" t="s">
        <v>81</v>
      </c>
      <c r="E217" s="20" t="s">
        <v>15</v>
      </c>
      <c r="F217" s="20" t="s">
        <v>61</v>
      </c>
      <c r="G217" s="20">
        <v>20.0</v>
      </c>
      <c r="H217" s="20">
        <v>4.1</v>
      </c>
      <c r="I217" s="20">
        <v>82.0</v>
      </c>
    </row>
    <row r="218">
      <c r="A218" s="20">
        <v>2026.0</v>
      </c>
      <c r="B218" s="20">
        <v>2.0</v>
      </c>
      <c r="C218" s="52" t="s">
        <v>80</v>
      </c>
      <c r="D218" s="20" t="s">
        <v>81</v>
      </c>
      <c r="E218" s="20" t="s">
        <v>15</v>
      </c>
      <c r="F218" s="20" t="s">
        <v>61</v>
      </c>
      <c r="G218" s="20">
        <v>8.0</v>
      </c>
      <c r="H218" s="20">
        <v>4.1</v>
      </c>
      <c r="I218" s="20">
        <v>32.8</v>
      </c>
    </row>
    <row r="219">
      <c r="A219" s="20">
        <v>2026.0</v>
      </c>
      <c r="B219" s="20">
        <v>2.0</v>
      </c>
      <c r="C219" s="52" t="s">
        <v>80</v>
      </c>
      <c r="D219" s="20" t="s">
        <v>81</v>
      </c>
      <c r="E219" s="20" t="s">
        <v>15</v>
      </c>
      <c r="F219" s="20" t="s">
        <v>61</v>
      </c>
      <c r="G219" s="20">
        <v>12.0</v>
      </c>
      <c r="H219" s="20">
        <v>4.1</v>
      </c>
      <c r="I219" s="20">
        <v>49.2</v>
      </c>
    </row>
    <row r="220">
      <c r="A220" s="20">
        <v>2026.0</v>
      </c>
      <c r="B220" s="20">
        <v>3.0</v>
      </c>
      <c r="C220" s="52" t="s">
        <v>80</v>
      </c>
      <c r="D220" s="20" t="s">
        <v>81</v>
      </c>
      <c r="E220" s="20" t="s">
        <v>15</v>
      </c>
      <c r="F220" s="20" t="s">
        <v>61</v>
      </c>
      <c r="G220" s="20">
        <v>11.0</v>
      </c>
      <c r="H220" s="20">
        <v>4.1</v>
      </c>
      <c r="I220" s="20">
        <v>45.1</v>
      </c>
    </row>
    <row r="221">
      <c r="A221" s="20">
        <v>2026.0</v>
      </c>
      <c r="B221" s="20">
        <v>3.0</v>
      </c>
      <c r="C221" s="52" t="s">
        <v>102</v>
      </c>
      <c r="D221" s="20" t="s">
        <v>103</v>
      </c>
      <c r="E221" s="20" t="s">
        <v>26</v>
      </c>
      <c r="F221" s="20" t="s">
        <v>61</v>
      </c>
      <c r="G221" s="20">
        <v>16.0</v>
      </c>
      <c r="H221" s="20">
        <v>20.0</v>
      </c>
      <c r="I221" s="20">
        <v>320.0</v>
      </c>
    </row>
    <row r="222">
      <c r="A222" s="20">
        <v>2026.0</v>
      </c>
      <c r="B222" s="20">
        <v>1.0</v>
      </c>
      <c r="C222" s="52" t="s">
        <v>169</v>
      </c>
      <c r="D222" s="20" t="s">
        <v>170</v>
      </c>
      <c r="E222" s="20" t="s">
        <v>26</v>
      </c>
      <c r="F222" s="20" t="s">
        <v>61</v>
      </c>
      <c r="G222" s="20">
        <v>20.0</v>
      </c>
      <c r="H222" s="20">
        <v>11.2</v>
      </c>
      <c r="I222" s="20">
        <v>224.0</v>
      </c>
    </row>
    <row r="223">
      <c r="A223" s="20">
        <v>2026.0</v>
      </c>
      <c r="B223" s="20">
        <v>1.0</v>
      </c>
      <c r="C223" s="52" t="s">
        <v>169</v>
      </c>
      <c r="D223" s="20" t="s">
        <v>170</v>
      </c>
      <c r="E223" s="20" t="s">
        <v>38</v>
      </c>
      <c r="F223" s="20" t="s">
        <v>61</v>
      </c>
      <c r="G223" s="20">
        <v>20.0</v>
      </c>
      <c r="H223" s="20">
        <v>6.1</v>
      </c>
      <c r="I223" s="20">
        <v>122.0</v>
      </c>
    </row>
    <row r="224">
      <c r="A224" s="20">
        <v>2026.0</v>
      </c>
      <c r="B224" s="20">
        <v>2.0</v>
      </c>
      <c r="C224" s="52" t="s">
        <v>169</v>
      </c>
      <c r="D224" s="20" t="s">
        <v>170</v>
      </c>
      <c r="E224" s="20" t="s">
        <v>26</v>
      </c>
      <c r="F224" s="20" t="s">
        <v>61</v>
      </c>
      <c r="G224" s="20">
        <v>20.0</v>
      </c>
      <c r="H224" s="20">
        <v>11.2</v>
      </c>
      <c r="I224" s="20">
        <v>224.0</v>
      </c>
    </row>
    <row r="225">
      <c r="A225" s="20">
        <v>2026.0</v>
      </c>
      <c r="B225" s="20">
        <v>2.0</v>
      </c>
      <c r="C225" s="52" t="s">
        <v>169</v>
      </c>
      <c r="D225" s="20" t="s">
        <v>170</v>
      </c>
      <c r="E225" s="20" t="s">
        <v>38</v>
      </c>
      <c r="F225" s="20" t="s">
        <v>61</v>
      </c>
      <c r="G225" s="20">
        <v>20.0</v>
      </c>
      <c r="H225" s="20">
        <v>6.1</v>
      </c>
      <c r="I225" s="20">
        <v>122.0</v>
      </c>
    </row>
    <row r="226">
      <c r="A226" s="20">
        <v>2026.0</v>
      </c>
      <c r="B226" s="20">
        <v>3.0</v>
      </c>
      <c r="C226" s="52" t="s">
        <v>169</v>
      </c>
      <c r="D226" s="20" t="s">
        <v>170</v>
      </c>
      <c r="E226" s="20" t="s">
        <v>26</v>
      </c>
      <c r="F226" s="20" t="s">
        <v>61</v>
      </c>
      <c r="G226" s="20">
        <v>19.0</v>
      </c>
      <c r="H226" s="20">
        <v>11.2</v>
      </c>
      <c r="I226" s="20">
        <v>212.8</v>
      </c>
    </row>
    <row r="227">
      <c r="A227" s="20">
        <v>2026.0</v>
      </c>
      <c r="B227" s="20">
        <v>3.0</v>
      </c>
      <c r="C227" s="52" t="s">
        <v>169</v>
      </c>
      <c r="D227" s="20" t="s">
        <v>170</v>
      </c>
      <c r="E227" s="20" t="s">
        <v>38</v>
      </c>
      <c r="F227" s="20" t="s">
        <v>61</v>
      </c>
      <c r="G227" s="20">
        <v>19.0</v>
      </c>
      <c r="H227" s="20">
        <v>6.1</v>
      </c>
      <c r="I227" s="20">
        <v>115.9</v>
      </c>
    </row>
    <row r="228">
      <c r="A228" s="20">
        <v>2026.0</v>
      </c>
      <c r="B228" s="20">
        <v>1.0</v>
      </c>
      <c r="C228" s="52" t="s">
        <v>171</v>
      </c>
      <c r="D228" s="20" t="s">
        <v>28</v>
      </c>
      <c r="E228" s="20" t="s">
        <v>28</v>
      </c>
      <c r="F228" s="20" t="s">
        <v>61</v>
      </c>
      <c r="G228" s="20">
        <v>1.0</v>
      </c>
      <c r="H228" s="20">
        <v>20.0</v>
      </c>
      <c r="I228" s="20">
        <v>20.0</v>
      </c>
    </row>
    <row r="229">
      <c r="A229" s="20">
        <v>2026.0</v>
      </c>
      <c r="B229" s="20">
        <v>2.0</v>
      </c>
      <c r="C229" s="52" t="s">
        <v>171</v>
      </c>
      <c r="D229" s="20" t="s">
        <v>28</v>
      </c>
      <c r="E229" s="20" t="s">
        <v>28</v>
      </c>
      <c r="F229" s="20" t="s">
        <v>61</v>
      </c>
      <c r="G229" s="20">
        <v>1.0</v>
      </c>
      <c r="H229" s="20">
        <v>20.0</v>
      </c>
      <c r="I229" s="20">
        <v>20.0</v>
      </c>
    </row>
    <row r="230">
      <c r="A230" s="20">
        <v>2026.0</v>
      </c>
      <c r="B230" s="20">
        <v>3.0</v>
      </c>
      <c r="C230" s="52" t="s">
        <v>171</v>
      </c>
      <c r="D230" s="20" t="s">
        <v>28</v>
      </c>
      <c r="E230" s="20" t="s">
        <v>28</v>
      </c>
      <c r="F230" s="20" t="s">
        <v>61</v>
      </c>
      <c r="G230" s="20">
        <v>2.0</v>
      </c>
      <c r="H230" s="20">
        <v>20.0</v>
      </c>
      <c r="I230" s="20">
        <v>40.0</v>
      </c>
    </row>
    <row r="231">
      <c r="A231" s="20">
        <v>2026.0</v>
      </c>
      <c r="B231" s="20">
        <v>1.0</v>
      </c>
      <c r="C231" s="52" t="s">
        <v>173</v>
      </c>
      <c r="D231" s="20" t="s">
        <v>174</v>
      </c>
      <c r="E231" s="20" t="s">
        <v>28</v>
      </c>
      <c r="F231" s="20" t="s">
        <v>113</v>
      </c>
      <c r="G231" s="20">
        <v>20.0</v>
      </c>
      <c r="H231" s="20">
        <v>2.5</v>
      </c>
      <c r="I231" s="20">
        <v>50.0</v>
      </c>
    </row>
    <row r="232">
      <c r="A232" s="20">
        <v>2026.0</v>
      </c>
      <c r="B232" s="20">
        <v>2.0</v>
      </c>
      <c r="C232" s="52" t="s">
        <v>173</v>
      </c>
      <c r="D232" s="20" t="s">
        <v>174</v>
      </c>
      <c r="E232" s="20" t="s">
        <v>28</v>
      </c>
      <c r="F232" s="20" t="s">
        <v>113</v>
      </c>
      <c r="G232" s="20">
        <v>20.0</v>
      </c>
      <c r="H232" s="20">
        <v>2.5</v>
      </c>
      <c r="I232" s="20">
        <v>50.0</v>
      </c>
    </row>
    <row r="233">
      <c r="A233" s="20">
        <v>2026.0</v>
      </c>
      <c r="B233" s="20">
        <v>3.0</v>
      </c>
      <c r="C233" s="52" t="s">
        <v>173</v>
      </c>
      <c r="D233" s="20" t="s">
        <v>174</v>
      </c>
      <c r="E233" s="20" t="s">
        <v>28</v>
      </c>
      <c r="F233" s="20" t="s">
        <v>113</v>
      </c>
      <c r="G233" s="20">
        <v>22.0</v>
      </c>
      <c r="H233" s="20">
        <v>2.5</v>
      </c>
      <c r="I233" s="20">
        <v>55.0</v>
      </c>
    </row>
    <row r="234">
      <c r="A234" s="20">
        <v>2026.0</v>
      </c>
      <c r="B234" s="20">
        <v>1.0</v>
      </c>
      <c r="C234" s="52" t="s">
        <v>175</v>
      </c>
      <c r="D234" s="20" t="s">
        <v>176</v>
      </c>
      <c r="E234" s="20" t="s">
        <v>26</v>
      </c>
      <c r="F234" s="20" t="s">
        <v>61</v>
      </c>
      <c r="G234" s="20">
        <v>17.0</v>
      </c>
      <c r="H234" s="20">
        <v>11.0</v>
      </c>
      <c r="I234" s="20">
        <v>187.0</v>
      </c>
    </row>
    <row r="235">
      <c r="A235" s="20">
        <v>2026.0</v>
      </c>
      <c r="B235" s="20">
        <v>1.0</v>
      </c>
      <c r="C235" s="52" t="s">
        <v>175</v>
      </c>
      <c r="D235" s="20" t="s">
        <v>176</v>
      </c>
      <c r="E235" s="20" t="s">
        <v>38</v>
      </c>
      <c r="F235" s="20" t="s">
        <v>61</v>
      </c>
      <c r="G235" s="20">
        <v>17.0</v>
      </c>
      <c r="H235" s="20">
        <v>2.3</v>
      </c>
      <c r="I235" s="20">
        <v>39.1</v>
      </c>
    </row>
    <row r="236">
      <c r="A236" s="20">
        <v>2026.0</v>
      </c>
      <c r="B236" s="20">
        <v>2.0</v>
      </c>
      <c r="C236" s="52" t="s">
        <v>175</v>
      </c>
      <c r="D236" s="20" t="s">
        <v>176</v>
      </c>
      <c r="E236" s="20" t="s">
        <v>26</v>
      </c>
      <c r="F236" s="20" t="s">
        <v>61</v>
      </c>
      <c r="G236" s="20">
        <v>20.0</v>
      </c>
      <c r="H236" s="20">
        <v>11.0</v>
      </c>
      <c r="I236" s="20">
        <v>220.0</v>
      </c>
    </row>
    <row r="237">
      <c r="A237" s="20">
        <v>2026.0</v>
      </c>
      <c r="B237" s="20">
        <v>2.0</v>
      </c>
      <c r="C237" s="52" t="s">
        <v>175</v>
      </c>
      <c r="D237" s="20" t="s">
        <v>176</v>
      </c>
      <c r="E237" s="20" t="s">
        <v>38</v>
      </c>
      <c r="F237" s="20" t="s">
        <v>61</v>
      </c>
      <c r="G237" s="20">
        <v>20.0</v>
      </c>
      <c r="H237" s="20">
        <v>2.3</v>
      </c>
      <c r="I237" s="20">
        <v>46.0</v>
      </c>
    </row>
    <row r="238">
      <c r="A238" s="20">
        <v>2026.0</v>
      </c>
      <c r="B238" s="20">
        <v>3.0</v>
      </c>
      <c r="C238" s="52" t="s">
        <v>175</v>
      </c>
      <c r="D238" s="20" t="s">
        <v>176</v>
      </c>
      <c r="E238" s="20" t="s">
        <v>26</v>
      </c>
      <c r="F238" s="20" t="s">
        <v>61</v>
      </c>
      <c r="G238" s="20">
        <v>21.5</v>
      </c>
      <c r="H238" s="20">
        <v>11.0</v>
      </c>
      <c r="I238" s="20">
        <v>236.5</v>
      </c>
    </row>
    <row r="239">
      <c r="A239" s="20">
        <v>2026.0</v>
      </c>
      <c r="B239" s="20">
        <v>3.0</v>
      </c>
      <c r="C239" s="52" t="s">
        <v>175</v>
      </c>
      <c r="D239" s="20" t="s">
        <v>176</v>
      </c>
      <c r="E239" s="20" t="s">
        <v>38</v>
      </c>
      <c r="F239" s="20" t="s">
        <v>61</v>
      </c>
      <c r="G239" s="20">
        <v>21.5</v>
      </c>
      <c r="H239" s="20">
        <v>2.3</v>
      </c>
      <c r="I239" s="20">
        <v>49.45</v>
      </c>
    </row>
    <row r="240">
      <c r="A240" s="20">
        <v>2026.0</v>
      </c>
      <c r="B240" s="20">
        <v>1.0</v>
      </c>
      <c r="C240" s="52" t="s">
        <v>177</v>
      </c>
      <c r="D240" s="20" t="s">
        <v>178</v>
      </c>
      <c r="E240" s="20" t="s">
        <v>28</v>
      </c>
      <c r="F240" s="20" t="s">
        <v>61</v>
      </c>
      <c r="G240" s="20">
        <v>18.0</v>
      </c>
      <c r="H240" s="20">
        <v>5.2</v>
      </c>
      <c r="I240" s="20">
        <v>93.6</v>
      </c>
    </row>
    <row r="241">
      <c r="A241" s="20">
        <v>2026.0</v>
      </c>
      <c r="B241" s="20">
        <v>2.0</v>
      </c>
      <c r="C241" s="52" t="s">
        <v>177</v>
      </c>
      <c r="D241" s="20" t="s">
        <v>178</v>
      </c>
      <c r="E241" s="20" t="s">
        <v>28</v>
      </c>
      <c r="F241" s="20" t="s">
        <v>61</v>
      </c>
      <c r="G241" s="20">
        <v>20.0</v>
      </c>
      <c r="H241" s="20">
        <v>5.2</v>
      </c>
      <c r="I241" s="20">
        <v>104.0</v>
      </c>
    </row>
    <row r="242">
      <c r="A242" s="20">
        <v>2026.0</v>
      </c>
      <c r="B242" s="20">
        <v>3.0</v>
      </c>
      <c r="C242" s="52" t="s">
        <v>177</v>
      </c>
      <c r="D242" s="20" t="s">
        <v>178</v>
      </c>
      <c r="E242" s="20" t="s">
        <v>28</v>
      </c>
      <c r="F242" s="20" t="s">
        <v>61</v>
      </c>
      <c r="G242" s="20">
        <v>21.0</v>
      </c>
      <c r="H242" s="20">
        <v>5.2</v>
      </c>
      <c r="I242" s="20">
        <v>109.2</v>
      </c>
    </row>
    <row r="243">
      <c r="A243" s="20">
        <v>2026.0</v>
      </c>
      <c r="B243" s="20">
        <v>1.0</v>
      </c>
      <c r="C243" s="52" t="s">
        <v>179</v>
      </c>
      <c r="D243" s="20" t="s">
        <v>29</v>
      </c>
      <c r="E243" s="20" t="s">
        <v>28</v>
      </c>
      <c r="F243" s="20" t="s">
        <v>61</v>
      </c>
      <c r="G243" s="20">
        <v>19.0</v>
      </c>
      <c r="H243" s="20">
        <v>10.0</v>
      </c>
      <c r="I243" s="20">
        <v>190.0</v>
      </c>
    </row>
    <row r="244">
      <c r="A244" s="20">
        <v>2026.0</v>
      </c>
      <c r="B244" s="20">
        <v>2.0</v>
      </c>
      <c r="C244" s="52" t="s">
        <v>179</v>
      </c>
      <c r="D244" s="20" t="s">
        <v>29</v>
      </c>
      <c r="E244" s="20" t="s">
        <v>28</v>
      </c>
      <c r="F244" s="20" t="s">
        <v>61</v>
      </c>
      <c r="G244" s="20">
        <v>15.0</v>
      </c>
      <c r="H244" s="20">
        <v>10.0</v>
      </c>
      <c r="I244" s="20">
        <v>150.0</v>
      </c>
    </row>
    <row r="245">
      <c r="A245" s="20">
        <v>2026.0</v>
      </c>
      <c r="B245" s="20">
        <v>3.0</v>
      </c>
      <c r="C245" s="52" t="s">
        <v>179</v>
      </c>
      <c r="D245" s="20" t="s">
        <v>29</v>
      </c>
      <c r="E245" s="20" t="s">
        <v>28</v>
      </c>
      <c r="F245" s="20" t="s">
        <v>61</v>
      </c>
      <c r="G245" s="20">
        <v>20.0</v>
      </c>
      <c r="H245" s="20">
        <v>10.0</v>
      </c>
      <c r="I245" s="20">
        <v>200.0</v>
      </c>
    </row>
    <row r="246">
      <c r="A246" s="20">
        <v>2026.0</v>
      </c>
      <c r="B246" s="20">
        <v>1.0</v>
      </c>
      <c r="C246" s="52" t="s">
        <v>180</v>
      </c>
      <c r="D246" s="20" t="s">
        <v>30</v>
      </c>
      <c r="E246" s="20" t="s">
        <v>26</v>
      </c>
      <c r="F246" s="20" t="s">
        <v>61</v>
      </c>
      <c r="G246" s="20">
        <v>20.0</v>
      </c>
      <c r="H246" s="20">
        <v>48.3</v>
      </c>
      <c r="I246" s="20">
        <v>966.0</v>
      </c>
    </row>
    <row r="247">
      <c r="A247" s="20">
        <v>2026.0</v>
      </c>
      <c r="B247" s="20">
        <v>2.0</v>
      </c>
      <c r="C247" s="52" t="s">
        <v>180</v>
      </c>
      <c r="D247" s="20" t="s">
        <v>30</v>
      </c>
      <c r="E247" s="20" t="s">
        <v>26</v>
      </c>
      <c r="F247" s="20" t="s">
        <v>61</v>
      </c>
      <c r="G247" s="20">
        <v>19.0</v>
      </c>
      <c r="H247" s="20">
        <v>48.3</v>
      </c>
      <c r="I247" s="20">
        <v>917.7</v>
      </c>
    </row>
    <row r="248">
      <c r="A248" s="20">
        <v>2026.0</v>
      </c>
      <c r="B248" s="20">
        <v>3.0</v>
      </c>
      <c r="C248" s="52" t="s">
        <v>180</v>
      </c>
      <c r="D248" s="20" t="s">
        <v>30</v>
      </c>
      <c r="E248" s="20" t="s">
        <v>26</v>
      </c>
      <c r="F248" s="20" t="s">
        <v>61</v>
      </c>
      <c r="G248" s="20">
        <v>20.0</v>
      </c>
      <c r="H248" s="20">
        <v>48.3</v>
      </c>
      <c r="I248" s="20">
        <v>966.0</v>
      </c>
    </row>
    <row r="249">
      <c r="A249" s="20">
        <v>2026.0</v>
      </c>
      <c r="B249" s="20">
        <v>1.0</v>
      </c>
      <c r="C249" s="52" t="s">
        <v>145</v>
      </c>
      <c r="D249" s="20" t="s">
        <v>181</v>
      </c>
      <c r="E249" s="20" t="s">
        <v>24</v>
      </c>
      <c r="F249" s="20" t="s">
        <v>61</v>
      </c>
      <c r="G249" s="20">
        <v>19.0</v>
      </c>
      <c r="H249" s="20">
        <v>10.8</v>
      </c>
      <c r="I249" s="20">
        <v>205.2</v>
      </c>
    </row>
    <row r="250">
      <c r="A250" s="20">
        <v>2026.0</v>
      </c>
      <c r="B250" s="20">
        <v>1.0</v>
      </c>
      <c r="C250" s="52" t="s">
        <v>145</v>
      </c>
      <c r="D250" s="20" t="s">
        <v>181</v>
      </c>
      <c r="E250" s="20" t="s">
        <v>48</v>
      </c>
      <c r="F250" s="20" t="s">
        <v>61</v>
      </c>
      <c r="G250" s="20">
        <v>19.0</v>
      </c>
      <c r="H250" s="20">
        <v>16.1</v>
      </c>
      <c r="I250" s="20">
        <v>305.9</v>
      </c>
    </row>
    <row r="251">
      <c r="A251" s="20">
        <v>2026.0</v>
      </c>
      <c r="B251" s="20">
        <v>2.0</v>
      </c>
      <c r="C251" s="52" t="s">
        <v>145</v>
      </c>
      <c r="D251" s="20" t="s">
        <v>181</v>
      </c>
      <c r="E251" s="20" t="s">
        <v>24</v>
      </c>
      <c r="F251" s="20" t="s">
        <v>61</v>
      </c>
      <c r="G251" s="20">
        <v>17.0</v>
      </c>
      <c r="H251" s="20">
        <v>10.8</v>
      </c>
      <c r="I251" s="20">
        <v>183.6</v>
      </c>
    </row>
    <row r="252">
      <c r="A252" s="20">
        <v>2026.0</v>
      </c>
      <c r="B252" s="20">
        <v>2.0</v>
      </c>
      <c r="C252" s="52" t="s">
        <v>145</v>
      </c>
      <c r="D252" s="20" t="s">
        <v>181</v>
      </c>
      <c r="E252" s="20" t="s">
        <v>48</v>
      </c>
      <c r="F252" s="20" t="s">
        <v>61</v>
      </c>
      <c r="G252" s="20">
        <v>17.0</v>
      </c>
      <c r="H252" s="20">
        <v>16.1</v>
      </c>
      <c r="I252" s="20">
        <v>273.7</v>
      </c>
    </row>
    <row r="253">
      <c r="A253" s="20">
        <v>2026.0</v>
      </c>
      <c r="B253" s="20">
        <v>3.0</v>
      </c>
      <c r="C253" s="52" t="s">
        <v>145</v>
      </c>
      <c r="D253" s="20" t="s">
        <v>181</v>
      </c>
      <c r="E253" s="20" t="s">
        <v>24</v>
      </c>
      <c r="F253" s="20" t="s">
        <v>61</v>
      </c>
      <c r="G253" s="20">
        <v>11.0</v>
      </c>
      <c r="H253" s="20">
        <v>10.8</v>
      </c>
      <c r="I253" s="20">
        <v>118.8</v>
      </c>
    </row>
    <row r="254">
      <c r="A254" s="20">
        <v>2026.0</v>
      </c>
      <c r="B254" s="20">
        <v>3.0</v>
      </c>
      <c r="C254" s="52" t="s">
        <v>145</v>
      </c>
      <c r="D254" s="20" t="s">
        <v>181</v>
      </c>
      <c r="E254" s="20" t="s">
        <v>48</v>
      </c>
      <c r="F254" s="20" t="s">
        <v>61</v>
      </c>
      <c r="G254" s="20">
        <v>11.0</v>
      </c>
      <c r="H254" s="20">
        <v>16.1</v>
      </c>
      <c r="I254" s="20">
        <v>177.1</v>
      </c>
    </row>
    <row r="255">
      <c r="A255" s="20">
        <v>2026.0</v>
      </c>
      <c r="B255" s="20">
        <v>3.0</v>
      </c>
      <c r="C255" s="52" t="s">
        <v>183</v>
      </c>
      <c r="D255" s="20" t="s">
        <v>185</v>
      </c>
      <c r="E255" s="20" t="s">
        <v>29</v>
      </c>
      <c r="F255" s="20" t="s">
        <v>61</v>
      </c>
      <c r="G255" s="20">
        <v>3.0</v>
      </c>
      <c r="H255" s="20">
        <v>14.9</v>
      </c>
      <c r="I255" s="20">
        <v>44.7</v>
      </c>
    </row>
    <row r="256">
      <c r="A256" s="20">
        <v>2026.0</v>
      </c>
      <c r="B256" s="20">
        <v>2.0</v>
      </c>
      <c r="C256" s="52" t="s">
        <v>186</v>
      </c>
      <c r="D256" s="20" t="s">
        <v>187</v>
      </c>
      <c r="E256" s="20" t="s">
        <v>15</v>
      </c>
      <c r="F256" s="20" t="s">
        <v>61</v>
      </c>
      <c r="G256" s="20">
        <v>10.0</v>
      </c>
      <c r="H256" s="20">
        <v>29.0</v>
      </c>
      <c r="I256" s="20">
        <v>290.0</v>
      </c>
    </row>
    <row r="257">
      <c r="A257" s="20">
        <v>2026.0</v>
      </c>
      <c r="B257" s="20">
        <v>2.0</v>
      </c>
      <c r="C257" s="52" t="s">
        <v>186</v>
      </c>
      <c r="D257" s="20" t="s">
        <v>187</v>
      </c>
      <c r="E257" s="20" t="s">
        <v>35</v>
      </c>
      <c r="F257" s="20" t="s">
        <v>61</v>
      </c>
      <c r="G257" s="20">
        <v>10.0</v>
      </c>
      <c r="H257" s="20">
        <v>24.8</v>
      </c>
      <c r="I257" s="20">
        <v>248.0</v>
      </c>
    </row>
    <row r="258">
      <c r="A258" s="20">
        <v>2026.0</v>
      </c>
      <c r="B258" s="20">
        <v>2.0</v>
      </c>
      <c r="C258" s="52" t="s">
        <v>186</v>
      </c>
      <c r="D258" s="20" t="s">
        <v>187</v>
      </c>
      <c r="E258" s="20" t="s">
        <v>39</v>
      </c>
      <c r="F258" s="20" t="s">
        <v>61</v>
      </c>
      <c r="G258" s="20">
        <v>10.0</v>
      </c>
      <c r="H258" s="20">
        <v>29.0</v>
      </c>
      <c r="I258" s="20">
        <v>290.0</v>
      </c>
    </row>
    <row r="259">
      <c r="A259" s="20">
        <v>2026.0</v>
      </c>
      <c r="B259" s="20">
        <v>3.0</v>
      </c>
      <c r="C259" s="52" t="s">
        <v>186</v>
      </c>
      <c r="D259" s="20" t="s">
        <v>187</v>
      </c>
      <c r="E259" s="20" t="s">
        <v>15</v>
      </c>
      <c r="F259" s="20" t="s">
        <v>61</v>
      </c>
      <c r="G259" s="20">
        <v>22.0</v>
      </c>
      <c r="H259" s="20">
        <v>29.0</v>
      </c>
      <c r="I259" s="20">
        <v>638.0</v>
      </c>
    </row>
    <row r="260">
      <c r="A260" s="20">
        <v>2026.0</v>
      </c>
      <c r="B260" s="20">
        <v>3.0</v>
      </c>
      <c r="C260" s="52" t="s">
        <v>186</v>
      </c>
      <c r="D260" s="20" t="s">
        <v>187</v>
      </c>
      <c r="E260" s="20" t="s">
        <v>35</v>
      </c>
      <c r="F260" s="20" t="s">
        <v>61</v>
      </c>
      <c r="G260" s="20">
        <v>22.0</v>
      </c>
      <c r="H260" s="20">
        <v>24.8</v>
      </c>
      <c r="I260" s="20">
        <v>545.6</v>
      </c>
    </row>
    <row r="261">
      <c r="A261" s="20">
        <v>2026.0</v>
      </c>
      <c r="B261" s="20">
        <v>3.0</v>
      </c>
      <c r="C261" s="52" t="s">
        <v>186</v>
      </c>
      <c r="D261" s="20" t="s">
        <v>187</v>
      </c>
      <c r="E261" s="20" t="s">
        <v>39</v>
      </c>
      <c r="F261" s="20" t="s">
        <v>61</v>
      </c>
      <c r="G261" s="20">
        <v>22.0</v>
      </c>
      <c r="H261" s="20">
        <v>29.0</v>
      </c>
      <c r="I261" s="20">
        <v>638.0</v>
      </c>
    </row>
    <row r="262">
      <c r="A262" s="20">
        <v>2026.0</v>
      </c>
      <c r="B262" s="20">
        <v>1.0</v>
      </c>
      <c r="C262" s="52" t="s">
        <v>188</v>
      </c>
      <c r="D262" s="20" t="s">
        <v>189</v>
      </c>
      <c r="E262" s="20" t="s">
        <v>15</v>
      </c>
      <c r="F262" s="20" t="s">
        <v>61</v>
      </c>
      <c r="G262" s="20">
        <v>9.0</v>
      </c>
      <c r="H262" s="20">
        <v>5.7</v>
      </c>
      <c r="I262" s="20">
        <v>51.3</v>
      </c>
    </row>
    <row r="263">
      <c r="A263" s="20">
        <v>2026.0</v>
      </c>
      <c r="B263" s="20">
        <v>1.0</v>
      </c>
      <c r="C263" s="52" t="s">
        <v>188</v>
      </c>
      <c r="D263" s="20" t="s">
        <v>189</v>
      </c>
      <c r="E263" s="20" t="s">
        <v>15</v>
      </c>
      <c r="F263" s="20" t="s">
        <v>61</v>
      </c>
      <c r="G263" s="20">
        <v>11.0</v>
      </c>
      <c r="H263" s="20">
        <v>5.7</v>
      </c>
      <c r="I263" s="20">
        <v>62.7</v>
      </c>
    </row>
    <row r="264">
      <c r="A264" s="20">
        <v>2026.0</v>
      </c>
      <c r="B264" s="20">
        <v>1.0</v>
      </c>
      <c r="C264" s="52" t="s">
        <v>188</v>
      </c>
      <c r="D264" s="20" t="s">
        <v>189</v>
      </c>
      <c r="E264" s="20" t="s">
        <v>23</v>
      </c>
      <c r="F264" s="20" t="s">
        <v>61</v>
      </c>
      <c r="G264" s="20">
        <v>9.0</v>
      </c>
      <c r="H264" s="20">
        <v>30.9</v>
      </c>
      <c r="I264" s="20">
        <v>278.1</v>
      </c>
    </row>
    <row r="265">
      <c r="A265" s="20">
        <v>2026.0</v>
      </c>
      <c r="B265" s="20">
        <v>1.0</v>
      </c>
      <c r="C265" s="52" t="s">
        <v>188</v>
      </c>
      <c r="D265" s="20" t="s">
        <v>189</v>
      </c>
      <c r="E265" s="20" t="s">
        <v>23</v>
      </c>
      <c r="F265" s="20" t="s">
        <v>61</v>
      </c>
      <c r="G265" s="20">
        <v>11.0</v>
      </c>
      <c r="H265" s="20">
        <v>30.9</v>
      </c>
      <c r="I265" s="20">
        <v>339.9</v>
      </c>
    </row>
    <row r="266">
      <c r="A266" s="20">
        <v>2026.0</v>
      </c>
      <c r="B266" s="20">
        <v>1.0</v>
      </c>
      <c r="C266" s="52" t="s">
        <v>188</v>
      </c>
      <c r="D266" s="20" t="s">
        <v>189</v>
      </c>
      <c r="E266" s="20" t="s">
        <v>35</v>
      </c>
      <c r="F266" s="20" t="s">
        <v>61</v>
      </c>
      <c r="G266" s="20">
        <v>9.0</v>
      </c>
      <c r="H266" s="20">
        <v>20.6</v>
      </c>
      <c r="I266" s="20">
        <v>185.4</v>
      </c>
    </row>
    <row r="267">
      <c r="A267" s="20">
        <v>2026.0</v>
      </c>
      <c r="B267" s="20">
        <v>1.0</v>
      </c>
      <c r="C267" s="52" t="s">
        <v>188</v>
      </c>
      <c r="D267" s="20" t="s">
        <v>189</v>
      </c>
      <c r="E267" s="20" t="s">
        <v>35</v>
      </c>
      <c r="F267" s="20" t="s">
        <v>61</v>
      </c>
      <c r="G267" s="20">
        <v>11.0</v>
      </c>
      <c r="H267" s="20">
        <v>20.6</v>
      </c>
      <c r="I267" s="20">
        <v>226.6</v>
      </c>
    </row>
    <row r="268">
      <c r="A268" s="20">
        <v>2026.0</v>
      </c>
      <c r="B268" s="20">
        <v>2.0</v>
      </c>
      <c r="C268" s="52" t="s">
        <v>188</v>
      </c>
      <c r="D268" s="20" t="s">
        <v>189</v>
      </c>
      <c r="E268" s="20" t="s">
        <v>15</v>
      </c>
      <c r="F268" s="20" t="s">
        <v>61</v>
      </c>
      <c r="G268" s="20">
        <v>20.0</v>
      </c>
      <c r="H268" s="20">
        <v>5.7</v>
      </c>
      <c r="I268" s="20">
        <v>114.0</v>
      </c>
    </row>
    <row r="269">
      <c r="A269" s="20">
        <v>2026.0</v>
      </c>
      <c r="B269" s="20">
        <v>2.0</v>
      </c>
      <c r="C269" s="52" t="s">
        <v>188</v>
      </c>
      <c r="D269" s="20" t="s">
        <v>189</v>
      </c>
      <c r="E269" s="20" t="s">
        <v>23</v>
      </c>
      <c r="F269" s="20" t="s">
        <v>61</v>
      </c>
      <c r="G269" s="20">
        <v>20.0</v>
      </c>
      <c r="H269" s="20">
        <v>30.9</v>
      </c>
      <c r="I269" s="20">
        <v>618.0</v>
      </c>
    </row>
    <row r="270">
      <c r="A270" s="20">
        <v>2026.0</v>
      </c>
      <c r="B270" s="20">
        <v>2.0</v>
      </c>
      <c r="C270" s="52" t="s">
        <v>188</v>
      </c>
      <c r="D270" s="20" t="s">
        <v>189</v>
      </c>
      <c r="E270" s="20" t="s">
        <v>35</v>
      </c>
      <c r="F270" s="20" t="s">
        <v>61</v>
      </c>
      <c r="G270" s="20">
        <v>20.0</v>
      </c>
      <c r="H270" s="20">
        <v>20.6</v>
      </c>
      <c r="I270" s="20">
        <v>412.0</v>
      </c>
    </row>
    <row r="271">
      <c r="A271" s="20">
        <v>2026.0</v>
      </c>
      <c r="B271" s="20">
        <v>3.0</v>
      </c>
      <c r="C271" s="52" t="s">
        <v>188</v>
      </c>
      <c r="D271" s="20" t="s">
        <v>189</v>
      </c>
      <c r="E271" s="20" t="s">
        <v>15</v>
      </c>
      <c r="F271" s="20" t="s">
        <v>61</v>
      </c>
      <c r="G271" s="20">
        <v>18.0</v>
      </c>
      <c r="H271" s="20">
        <v>5.7</v>
      </c>
      <c r="I271" s="20">
        <v>102.6</v>
      </c>
    </row>
    <row r="272">
      <c r="A272" s="20">
        <v>2026.0</v>
      </c>
      <c r="B272" s="20">
        <v>3.0</v>
      </c>
      <c r="C272" s="52" t="s">
        <v>188</v>
      </c>
      <c r="D272" s="20" t="s">
        <v>189</v>
      </c>
      <c r="E272" s="20" t="s">
        <v>23</v>
      </c>
      <c r="F272" s="20" t="s">
        <v>61</v>
      </c>
      <c r="G272" s="20">
        <v>18.0</v>
      </c>
      <c r="H272" s="20">
        <v>30.9</v>
      </c>
      <c r="I272" s="20">
        <v>556.2</v>
      </c>
    </row>
    <row r="273">
      <c r="A273" s="20">
        <v>2026.0</v>
      </c>
      <c r="B273" s="20">
        <v>3.0</v>
      </c>
      <c r="C273" s="52" t="s">
        <v>188</v>
      </c>
      <c r="D273" s="20" t="s">
        <v>189</v>
      </c>
      <c r="E273" s="20" t="s">
        <v>35</v>
      </c>
      <c r="F273" s="20" t="s">
        <v>61</v>
      </c>
      <c r="G273" s="20">
        <v>18.0</v>
      </c>
      <c r="H273" s="20">
        <v>20.6</v>
      </c>
      <c r="I273" s="20">
        <v>370.8</v>
      </c>
    </row>
    <row r="274">
      <c r="A274" s="20">
        <v>2026.0</v>
      </c>
      <c r="B274" s="20">
        <v>3.0</v>
      </c>
      <c r="C274" s="52" t="s">
        <v>104</v>
      </c>
      <c r="D274" s="20" t="s">
        <v>105</v>
      </c>
      <c r="E274" s="20" t="s">
        <v>28</v>
      </c>
      <c r="F274" s="20" t="s">
        <v>61</v>
      </c>
      <c r="G274" s="20">
        <v>16.0</v>
      </c>
      <c r="H274" s="20">
        <v>15.2</v>
      </c>
      <c r="I274" s="20">
        <v>243.2</v>
      </c>
    </row>
    <row r="275">
      <c r="A275" s="20">
        <v>2026.0</v>
      </c>
      <c r="B275" s="20">
        <v>3.0</v>
      </c>
      <c r="C275" s="52" t="s">
        <v>104</v>
      </c>
      <c r="D275" s="20" t="s">
        <v>105</v>
      </c>
      <c r="E275" s="20" t="s">
        <v>41</v>
      </c>
      <c r="F275" s="20" t="s">
        <v>61</v>
      </c>
      <c r="G275" s="20">
        <v>16.0</v>
      </c>
      <c r="H275" s="20">
        <v>15.2</v>
      </c>
      <c r="I275" s="20">
        <v>243.2</v>
      </c>
    </row>
    <row r="276">
      <c r="A276" s="20">
        <v>2026.0</v>
      </c>
      <c r="B276" s="20">
        <v>1.0</v>
      </c>
      <c r="C276" s="52" t="s">
        <v>190</v>
      </c>
      <c r="D276" s="20" t="s">
        <v>191</v>
      </c>
      <c r="E276" s="20" t="s">
        <v>28</v>
      </c>
      <c r="F276" s="20" t="s">
        <v>61</v>
      </c>
      <c r="G276" s="20">
        <v>17.0</v>
      </c>
      <c r="H276" s="20">
        <v>19.1</v>
      </c>
      <c r="I276" s="20">
        <f t="shared" ref="I276:I281" si="3">G276*H276</f>
        <v>324.7</v>
      </c>
    </row>
    <row r="277">
      <c r="A277" s="57">
        <v>2026.0</v>
      </c>
      <c r="B277" s="57">
        <v>1.0</v>
      </c>
      <c r="C277" s="58" t="s">
        <v>190</v>
      </c>
      <c r="D277" s="57" t="s">
        <v>191</v>
      </c>
      <c r="E277" s="57" t="s">
        <v>42</v>
      </c>
      <c r="F277" s="57" t="s">
        <v>61</v>
      </c>
      <c r="G277" s="57">
        <v>17.0</v>
      </c>
      <c r="H277" s="57">
        <v>5.5</v>
      </c>
      <c r="I277" s="57">
        <f t="shared" si="3"/>
        <v>93.5</v>
      </c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</row>
    <row r="278">
      <c r="A278" s="20">
        <v>2026.0</v>
      </c>
      <c r="B278" s="20">
        <v>2.0</v>
      </c>
      <c r="C278" s="52" t="s">
        <v>190</v>
      </c>
      <c r="D278" s="20" t="s">
        <v>191</v>
      </c>
      <c r="E278" s="20" t="s">
        <v>28</v>
      </c>
      <c r="F278" s="20" t="s">
        <v>61</v>
      </c>
      <c r="G278" s="20">
        <v>15.0</v>
      </c>
      <c r="H278" s="20">
        <v>19.1</v>
      </c>
      <c r="I278" s="20">
        <f t="shared" si="3"/>
        <v>286.5</v>
      </c>
    </row>
    <row r="279">
      <c r="A279" s="57">
        <v>2026.0</v>
      </c>
      <c r="B279" s="57">
        <v>2.0</v>
      </c>
      <c r="C279" s="58" t="s">
        <v>190</v>
      </c>
      <c r="D279" s="57" t="s">
        <v>191</v>
      </c>
      <c r="E279" s="57" t="s">
        <v>42</v>
      </c>
      <c r="F279" s="57" t="s">
        <v>61</v>
      </c>
      <c r="G279" s="57">
        <v>15.0</v>
      </c>
      <c r="H279" s="57">
        <v>5.5</v>
      </c>
      <c r="I279" s="57">
        <f t="shared" si="3"/>
        <v>82.5</v>
      </c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</row>
    <row r="280">
      <c r="A280" s="20">
        <v>2026.0</v>
      </c>
      <c r="B280" s="20">
        <v>3.0</v>
      </c>
      <c r="C280" s="52" t="s">
        <v>190</v>
      </c>
      <c r="D280" s="20" t="s">
        <v>191</v>
      </c>
      <c r="E280" s="20" t="s">
        <v>28</v>
      </c>
      <c r="F280" s="20" t="s">
        <v>61</v>
      </c>
      <c r="G280" s="20">
        <v>16.0</v>
      </c>
      <c r="H280" s="20">
        <v>19.1</v>
      </c>
      <c r="I280" s="20">
        <f t="shared" si="3"/>
        <v>305.6</v>
      </c>
    </row>
    <row r="281">
      <c r="A281" s="57">
        <v>2026.0</v>
      </c>
      <c r="B281" s="57">
        <v>3.0</v>
      </c>
      <c r="C281" s="58" t="s">
        <v>190</v>
      </c>
      <c r="D281" s="57" t="s">
        <v>191</v>
      </c>
      <c r="E281" s="57" t="s">
        <v>42</v>
      </c>
      <c r="F281" s="57" t="s">
        <v>61</v>
      </c>
      <c r="G281" s="57">
        <v>16.0</v>
      </c>
      <c r="H281" s="57">
        <v>5.5</v>
      </c>
      <c r="I281" s="57">
        <f t="shared" si="3"/>
        <v>88</v>
      </c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</row>
    <row r="282">
      <c r="A282" s="20">
        <v>2026.0</v>
      </c>
      <c r="B282" s="20">
        <v>1.0</v>
      </c>
      <c r="C282" s="52" t="s">
        <v>95</v>
      </c>
      <c r="D282" s="20" t="s">
        <v>31</v>
      </c>
      <c r="E282" s="20" t="s">
        <v>31</v>
      </c>
      <c r="F282" s="20" t="s">
        <v>61</v>
      </c>
      <c r="G282" s="20">
        <v>18.0</v>
      </c>
      <c r="H282" s="20">
        <v>20.2</v>
      </c>
      <c r="I282" s="20">
        <v>363.6</v>
      </c>
    </row>
    <row r="283">
      <c r="A283" s="20">
        <v>2026.0</v>
      </c>
      <c r="B283" s="20">
        <v>2.0</v>
      </c>
      <c r="C283" s="52" t="s">
        <v>95</v>
      </c>
      <c r="D283" s="20" t="s">
        <v>31</v>
      </c>
      <c r="E283" s="20" t="s">
        <v>31</v>
      </c>
      <c r="F283" s="20" t="s">
        <v>61</v>
      </c>
      <c r="G283" s="20">
        <v>20.0</v>
      </c>
      <c r="H283" s="20">
        <v>20.2</v>
      </c>
      <c r="I283" s="20">
        <v>404.0</v>
      </c>
    </row>
    <row r="284">
      <c r="A284" s="20">
        <v>2026.0</v>
      </c>
      <c r="B284" s="20">
        <v>3.0</v>
      </c>
      <c r="C284" s="52" t="s">
        <v>95</v>
      </c>
      <c r="D284" s="20" t="s">
        <v>31</v>
      </c>
      <c r="E284" s="20" t="s">
        <v>31</v>
      </c>
      <c r="F284" s="20" t="s">
        <v>61</v>
      </c>
      <c r="G284" s="20">
        <v>21.0</v>
      </c>
      <c r="H284" s="20">
        <v>20.2</v>
      </c>
      <c r="I284" s="20">
        <v>424.2</v>
      </c>
    </row>
    <row r="285">
      <c r="A285" s="20">
        <v>2026.0</v>
      </c>
      <c r="B285" s="20">
        <v>1.0</v>
      </c>
      <c r="C285" s="52" t="s">
        <v>192</v>
      </c>
      <c r="D285" s="20" t="s">
        <v>193</v>
      </c>
      <c r="E285" s="20" t="s">
        <v>15</v>
      </c>
      <c r="F285" s="20" t="s">
        <v>61</v>
      </c>
      <c r="G285" s="20">
        <v>21.0</v>
      </c>
      <c r="H285" s="20">
        <v>10.0</v>
      </c>
      <c r="I285" s="20">
        <v>210.0</v>
      </c>
    </row>
    <row r="286">
      <c r="A286" s="20">
        <v>2026.0</v>
      </c>
      <c r="B286" s="20">
        <v>2.0</v>
      </c>
      <c r="C286" s="52" t="s">
        <v>192</v>
      </c>
      <c r="D286" s="20" t="s">
        <v>193</v>
      </c>
      <c r="E286" s="20" t="s">
        <v>15</v>
      </c>
      <c r="F286" s="20" t="s">
        <v>61</v>
      </c>
      <c r="G286" s="20">
        <v>20.0</v>
      </c>
      <c r="H286" s="20">
        <v>10.0</v>
      </c>
      <c r="I286" s="20">
        <v>200.0</v>
      </c>
    </row>
    <row r="287">
      <c r="A287" s="20">
        <v>2026.0</v>
      </c>
      <c r="B287" s="20">
        <v>3.0</v>
      </c>
      <c r="C287" s="52" t="s">
        <v>192</v>
      </c>
      <c r="D287" s="20" t="s">
        <v>193</v>
      </c>
      <c r="E287" s="20" t="s">
        <v>15</v>
      </c>
      <c r="F287" s="20" t="s">
        <v>61</v>
      </c>
      <c r="G287" s="20">
        <v>22.0</v>
      </c>
      <c r="H287" s="20">
        <v>10.0</v>
      </c>
      <c r="I287" s="20">
        <v>220.0</v>
      </c>
    </row>
    <row r="288">
      <c r="A288" s="20">
        <v>2026.0</v>
      </c>
      <c r="B288" s="20">
        <v>1.0</v>
      </c>
      <c r="C288" s="52" t="s">
        <v>194</v>
      </c>
      <c r="D288" s="20" t="s">
        <v>195</v>
      </c>
      <c r="E288" s="20" t="s">
        <v>17</v>
      </c>
      <c r="F288" s="20" t="s">
        <v>61</v>
      </c>
      <c r="G288" s="20">
        <v>12.0</v>
      </c>
      <c r="H288" s="60">
        <v>15.8</v>
      </c>
      <c r="I288" s="20">
        <v>189.6</v>
      </c>
    </row>
    <row r="289">
      <c r="A289" s="20">
        <v>2026.0</v>
      </c>
      <c r="B289" s="20">
        <v>2.0</v>
      </c>
      <c r="C289" s="52" t="s">
        <v>194</v>
      </c>
      <c r="D289" s="20" t="s">
        <v>195</v>
      </c>
      <c r="E289" s="20" t="s">
        <v>17</v>
      </c>
      <c r="F289" s="20" t="s">
        <v>61</v>
      </c>
      <c r="G289" s="20">
        <v>12.0</v>
      </c>
      <c r="H289" s="20">
        <v>15.8</v>
      </c>
      <c r="I289" s="20">
        <v>189.6</v>
      </c>
    </row>
    <row r="290">
      <c r="A290" s="20">
        <v>2026.0</v>
      </c>
      <c r="B290" s="20">
        <v>3.0</v>
      </c>
      <c r="C290" s="52" t="s">
        <v>194</v>
      </c>
      <c r="D290" s="20" t="s">
        <v>195</v>
      </c>
      <c r="E290" s="20" t="s">
        <v>17</v>
      </c>
      <c r="F290" s="20" t="s">
        <v>61</v>
      </c>
      <c r="G290" s="20">
        <v>14.0</v>
      </c>
      <c r="H290" s="20">
        <v>15.8</v>
      </c>
      <c r="I290" s="20">
        <v>221.2</v>
      </c>
    </row>
    <row r="291">
      <c r="A291" s="20">
        <v>2026.0</v>
      </c>
      <c r="B291" s="20">
        <v>1.0</v>
      </c>
      <c r="C291" s="52" t="s">
        <v>196</v>
      </c>
      <c r="D291" s="20" t="s">
        <v>197</v>
      </c>
      <c r="E291" s="20" t="s">
        <v>15</v>
      </c>
      <c r="F291" s="20" t="s">
        <v>61</v>
      </c>
      <c r="G291" s="20">
        <v>10.0</v>
      </c>
      <c r="H291" s="20">
        <v>25.0</v>
      </c>
      <c r="I291" s="20">
        <v>250.0</v>
      </c>
    </row>
    <row r="292">
      <c r="A292" s="20">
        <v>2026.0</v>
      </c>
      <c r="B292" s="20">
        <v>1.0</v>
      </c>
      <c r="C292" s="52" t="s">
        <v>196</v>
      </c>
      <c r="D292" s="20" t="s">
        <v>197</v>
      </c>
      <c r="E292" s="20" t="s">
        <v>43</v>
      </c>
      <c r="F292" s="20" t="s">
        <v>61</v>
      </c>
      <c r="G292" s="20">
        <v>10.0</v>
      </c>
      <c r="H292" s="20">
        <v>25.0</v>
      </c>
      <c r="I292" s="20">
        <v>250.0</v>
      </c>
    </row>
    <row r="293">
      <c r="A293" s="20">
        <v>2026.0</v>
      </c>
      <c r="B293" s="20">
        <v>2.0</v>
      </c>
      <c r="C293" s="52" t="s">
        <v>196</v>
      </c>
      <c r="D293" s="20" t="s">
        <v>197</v>
      </c>
      <c r="E293" s="20" t="s">
        <v>15</v>
      </c>
      <c r="F293" s="20" t="s">
        <v>61</v>
      </c>
      <c r="G293" s="20">
        <v>12.0</v>
      </c>
      <c r="H293" s="20">
        <v>25.0</v>
      </c>
      <c r="I293" s="20">
        <v>300.0</v>
      </c>
    </row>
    <row r="294">
      <c r="A294" s="20">
        <v>2026.0</v>
      </c>
      <c r="B294" s="20">
        <v>2.0</v>
      </c>
      <c r="C294" s="52" t="s">
        <v>196</v>
      </c>
      <c r="D294" s="20" t="s">
        <v>197</v>
      </c>
      <c r="E294" s="20" t="s">
        <v>43</v>
      </c>
      <c r="F294" s="20" t="s">
        <v>61</v>
      </c>
      <c r="G294" s="20">
        <v>12.0</v>
      </c>
      <c r="H294" s="20">
        <v>25.0</v>
      </c>
      <c r="I294" s="20">
        <v>300.0</v>
      </c>
    </row>
    <row r="295">
      <c r="A295" s="20">
        <v>2026.0</v>
      </c>
      <c r="B295" s="20">
        <v>3.0</v>
      </c>
      <c r="C295" s="52" t="s">
        <v>196</v>
      </c>
      <c r="D295" s="20" t="s">
        <v>197</v>
      </c>
      <c r="E295" s="20" t="s">
        <v>15</v>
      </c>
      <c r="F295" s="20" t="s">
        <v>61</v>
      </c>
      <c r="G295" s="20">
        <v>21.0</v>
      </c>
      <c r="H295" s="20">
        <v>25.0</v>
      </c>
      <c r="I295" s="20">
        <v>525.0</v>
      </c>
    </row>
    <row r="296">
      <c r="A296" s="20">
        <v>2026.0</v>
      </c>
      <c r="B296" s="20">
        <v>3.0</v>
      </c>
      <c r="C296" s="52" t="s">
        <v>196</v>
      </c>
      <c r="D296" s="20" t="s">
        <v>197</v>
      </c>
      <c r="E296" s="20" t="s">
        <v>43</v>
      </c>
      <c r="F296" s="20" t="s">
        <v>61</v>
      </c>
      <c r="G296" s="20">
        <v>21.0</v>
      </c>
      <c r="H296" s="20">
        <v>25.0</v>
      </c>
      <c r="I296" s="20">
        <v>525.0</v>
      </c>
    </row>
    <row r="297">
      <c r="A297" s="20">
        <v>2026.0</v>
      </c>
      <c r="B297" s="20">
        <v>1.0</v>
      </c>
      <c r="C297" s="52" t="s">
        <v>198</v>
      </c>
      <c r="D297" s="20" t="s">
        <v>199</v>
      </c>
      <c r="E297" s="20" t="s">
        <v>32</v>
      </c>
      <c r="F297" s="20" t="s">
        <v>61</v>
      </c>
      <c r="G297" s="20">
        <v>6.0</v>
      </c>
      <c r="H297" s="20">
        <v>73.5</v>
      </c>
      <c r="I297" s="20">
        <v>441.0</v>
      </c>
    </row>
    <row r="298">
      <c r="A298" s="20">
        <v>2026.0</v>
      </c>
      <c r="B298" s="20">
        <v>2.0</v>
      </c>
      <c r="C298" s="52" t="s">
        <v>198</v>
      </c>
      <c r="D298" s="20" t="s">
        <v>199</v>
      </c>
      <c r="E298" s="20" t="s">
        <v>32</v>
      </c>
      <c r="F298" s="20" t="s">
        <v>61</v>
      </c>
      <c r="G298" s="20">
        <v>6.0</v>
      </c>
      <c r="H298" s="20">
        <v>73.5</v>
      </c>
      <c r="I298" s="20">
        <v>441.0</v>
      </c>
    </row>
    <row r="299">
      <c r="A299" s="20">
        <v>2026.0</v>
      </c>
      <c r="B299" s="20">
        <v>1.0</v>
      </c>
      <c r="C299" s="52" t="s">
        <v>92</v>
      </c>
      <c r="D299" s="20" t="s">
        <v>93</v>
      </c>
      <c r="E299" s="20" t="s">
        <v>31</v>
      </c>
      <c r="F299" s="20" t="s">
        <v>61</v>
      </c>
      <c r="G299" s="20">
        <v>19.5</v>
      </c>
      <c r="H299" s="20">
        <v>17.6</v>
      </c>
      <c r="I299" s="20">
        <v>343.2</v>
      </c>
    </row>
    <row r="300">
      <c r="A300" s="20">
        <v>2026.0</v>
      </c>
      <c r="B300" s="20">
        <v>2.0</v>
      </c>
      <c r="C300" s="52" t="s">
        <v>92</v>
      </c>
      <c r="D300" s="20" t="s">
        <v>93</v>
      </c>
      <c r="E300" s="20" t="s">
        <v>31</v>
      </c>
      <c r="F300" s="20" t="s">
        <v>61</v>
      </c>
      <c r="G300" s="20">
        <v>20.0</v>
      </c>
      <c r="H300" s="20">
        <v>17.6</v>
      </c>
      <c r="I300" s="20">
        <v>352.0</v>
      </c>
    </row>
    <row r="301">
      <c r="A301" s="20">
        <v>2026.0</v>
      </c>
      <c r="B301" s="20">
        <v>3.0</v>
      </c>
      <c r="C301" s="52" t="s">
        <v>92</v>
      </c>
      <c r="D301" s="20" t="s">
        <v>93</v>
      </c>
      <c r="E301" s="20" t="s">
        <v>31</v>
      </c>
      <c r="F301" s="20" t="s">
        <v>61</v>
      </c>
      <c r="G301" s="20">
        <v>22.0</v>
      </c>
      <c r="H301" s="20">
        <v>17.6</v>
      </c>
      <c r="I301" s="20">
        <v>387.2</v>
      </c>
    </row>
    <row r="302">
      <c r="A302" s="20">
        <v>2026.0</v>
      </c>
      <c r="B302" s="20">
        <v>1.0</v>
      </c>
      <c r="C302" s="52" t="s">
        <v>200</v>
      </c>
      <c r="D302" s="20" t="s">
        <v>32</v>
      </c>
      <c r="E302" s="20" t="s">
        <v>19</v>
      </c>
      <c r="F302" s="20" t="s">
        <v>61</v>
      </c>
      <c r="G302" s="20">
        <v>19.5</v>
      </c>
      <c r="H302" s="20">
        <v>15.0</v>
      </c>
      <c r="I302" s="20">
        <v>292.5</v>
      </c>
    </row>
    <row r="303">
      <c r="A303" s="20">
        <v>2026.0</v>
      </c>
      <c r="B303" s="20">
        <v>2.0</v>
      </c>
      <c r="C303" s="52" t="s">
        <v>200</v>
      </c>
      <c r="D303" s="20" t="s">
        <v>32</v>
      </c>
      <c r="E303" s="20" t="s">
        <v>19</v>
      </c>
      <c r="F303" s="20" t="s">
        <v>61</v>
      </c>
      <c r="G303" s="20">
        <v>19.5</v>
      </c>
      <c r="H303" s="20">
        <v>15.0</v>
      </c>
      <c r="I303" s="20">
        <v>292.5</v>
      </c>
    </row>
    <row r="304">
      <c r="A304" s="20">
        <v>2026.0</v>
      </c>
      <c r="B304" s="20">
        <v>3.0</v>
      </c>
      <c r="C304" s="52" t="s">
        <v>200</v>
      </c>
      <c r="D304" s="20" t="s">
        <v>32</v>
      </c>
      <c r="E304" s="20" t="s">
        <v>19</v>
      </c>
      <c r="F304" s="20" t="s">
        <v>61</v>
      </c>
      <c r="G304" s="20">
        <v>22.0</v>
      </c>
      <c r="H304" s="20">
        <v>15.0</v>
      </c>
      <c r="I304" s="20">
        <v>330.0</v>
      </c>
    </row>
    <row r="305">
      <c r="A305" s="20">
        <v>2026.0</v>
      </c>
      <c r="B305" s="20">
        <v>1.0</v>
      </c>
      <c r="C305" s="52" t="s">
        <v>201</v>
      </c>
      <c r="D305" s="20" t="s">
        <v>202</v>
      </c>
      <c r="E305" s="20" t="s">
        <v>35</v>
      </c>
      <c r="F305" s="20" t="s">
        <v>61</v>
      </c>
      <c r="G305" s="20">
        <v>20.0</v>
      </c>
      <c r="H305" s="20">
        <v>41.2</v>
      </c>
      <c r="I305" s="20">
        <v>824.0</v>
      </c>
    </row>
    <row r="306">
      <c r="A306" s="20">
        <v>2026.0</v>
      </c>
      <c r="B306" s="20">
        <v>2.0</v>
      </c>
      <c r="C306" s="52" t="s">
        <v>201</v>
      </c>
      <c r="D306" s="20" t="s">
        <v>202</v>
      </c>
      <c r="E306" s="20" t="s">
        <v>35</v>
      </c>
      <c r="F306" s="20" t="s">
        <v>61</v>
      </c>
      <c r="G306" s="20">
        <v>15.0</v>
      </c>
      <c r="H306" s="20">
        <v>41.2</v>
      </c>
      <c r="I306" s="20">
        <v>618.0</v>
      </c>
    </row>
    <row r="307">
      <c r="A307" s="20">
        <v>2026.0</v>
      </c>
      <c r="B307" s="20">
        <v>3.0</v>
      </c>
      <c r="C307" s="52" t="s">
        <v>201</v>
      </c>
      <c r="D307" s="20" t="s">
        <v>202</v>
      </c>
      <c r="E307" s="20" t="s">
        <v>35</v>
      </c>
      <c r="F307" s="20" t="s">
        <v>61</v>
      </c>
      <c r="G307" s="20">
        <v>9.0</v>
      </c>
      <c r="H307" s="20">
        <v>41.2</v>
      </c>
      <c r="I307" s="20">
        <v>370.8</v>
      </c>
    </row>
    <row r="308">
      <c r="A308" s="20">
        <v>2026.0</v>
      </c>
      <c r="B308" s="20">
        <v>3.0</v>
      </c>
      <c r="C308" s="52" t="s">
        <v>203</v>
      </c>
      <c r="D308" s="20" t="s">
        <v>204</v>
      </c>
      <c r="E308" s="20" t="s">
        <v>15</v>
      </c>
      <c r="F308" s="20" t="s">
        <v>61</v>
      </c>
      <c r="G308" s="20">
        <v>10.0</v>
      </c>
      <c r="H308" s="20">
        <v>10.0</v>
      </c>
      <c r="I308" s="20">
        <v>100.0</v>
      </c>
    </row>
    <row r="309">
      <c r="A309" s="20">
        <v>2026.0</v>
      </c>
      <c r="B309" s="20">
        <v>1.0</v>
      </c>
      <c r="C309" s="52" t="s">
        <v>205</v>
      </c>
      <c r="D309" s="20" t="s">
        <v>33</v>
      </c>
      <c r="E309" s="20" t="s">
        <v>15</v>
      </c>
      <c r="F309" s="20" t="s">
        <v>61</v>
      </c>
      <c r="G309" s="20">
        <v>3.0</v>
      </c>
      <c r="H309" s="20">
        <v>28.8</v>
      </c>
      <c r="I309" s="20">
        <v>86.4</v>
      </c>
    </row>
    <row r="310">
      <c r="A310" s="20">
        <v>2026.0</v>
      </c>
      <c r="B310" s="20">
        <v>1.0</v>
      </c>
      <c r="C310" s="52" t="s">
        <v>205</v>
      </c>
      <c r="D310" s="20" t="s">
        <v>33</v>
      </c>
      <c r="E310" s="20" t="s">
        <v>15</v>
      </c>
      <c r="F310" s="20" t="s">
        <v>61</v>
      </c>
      <c r="G310" s="20">
        <v>4.0</v>
      </c>
      <c r="H310" s="20">
        <v>28.8</v>
      </c>
      <c r="I310" s="20">
        <v>115.2</v>
      </c>
    </row>
    <row r="311">
      <c r="A311" s="20">
        <v>2026.0</v>
      </c>
      <c r="B311" s="20">
        <v>1.0</v>
      </c>
      <c r="C311" s="52" t="s">
        <v>205</v>
      </c>
      <c r="D311" s="20" t="s">
        <v>33</v>
      </c>
      <c r="E311" s="20" t="s">
        <v>44</v>
      </c>
      <c r="F311" s="20" t="s">
        <v>61</v>
      </c>
      <c r="G311" s="20">
        <v>3.0</v>
      </c>
      <c r="H311" s="53">
        <v>14.8</v>
      </c>
      <c r="I311" s="20">
        <v>44.4</v>
      </c>
    </row>
    <row r="312">
      <c r="A312" s="20">
        <v>2026.0</v>
      </c>
      <c r="B312" s="20">
        <v>1.0</v>
      </c>
      <c r="C312" s="52" t="s">
        <v>205</v>
      </c>
      <c r="D312" s="20" t="s">
        <v>33</v>
      </c>
      <c r="E312" s="20" t="s">
        <v>44</v>
      </c>
      <c r="F312" s="20" t="s">
        <v>61</v>
      </c>
      <c r="G312" s="20">
        <v>4.0</v>
      </c>
      <c r="H312" s="20">
        <v>14.8</v>
      </c>
      <c r="I312" s="20">
        <v>59.2</v>
      </c>
    </row>
    <row r="313">
      <c r="A313" s="20">
        <v>2026.0</v>
      </c>
      <c r="B313" s="20">
        <v>2.0</v>
      </c>
      <c r="C313" s="52" t="s">
        <v>205</v>
      </c>
      <c r="D313" s="20" t="s">
        <v>33</v>
      </c>
      <c r="E313" s="20" t="s">
        <v>15</v>
      </c>
      <c r="F313" s="20" t="s">
        <v>61</v>
      </c>
      <c r="G313" s="20">
        <v>20.0</v>
      </c>
      <c r="H313" s="20">
        <v>28.8</v>
      </c>
      <c r="I313" s="20">
        <v>576.0</v>
      </c>
    </row>
    <row r="314">
      <c r="A314" s="20">
        <v>2026.0</v>
      </c>
      <c r="B314" s="20">
        <v>2.0</v>
      </c>
      <c r="C314" s="52" t="s">
        <v>205</v>
      </c>
      <c r="D314" s="20" t="s">
        <v>33</v>
      </c>
      <c r="E314" s="20" t="s">
        <v>44</v>
      </c>
      <c r="F314" s="20" t="s">
        <v>61</v>
      </c>
      <c r="G314" s="20">
        <v>20.0</v>
      </c>
      <c r="H314" s="20">
        <v>14.8</v>
      </c>
      <c r="I314" s="20">
        <v>296.0</v>
      </c>
    </row>
    <row r="315">
      <c r="A315" s="20">
        <v>2026.0</v>
      </c>
      <c r="B315" s="20">
        <v>3.0</v>
      </c>
      <c r="C315" s="52" t="s">
        <v>205</v>
      </c>
      <c r="D315" s="20" t="s">
        <v>33</v>
      </c>
      <c r="E315" s="20" t="s">
        <v>15</v>
      </c>
      <c r="F315" s="20" t="s">
        <v>61</v>
      </c>
      <c r="G315" s="20">
        <v>22.0</v>
      </c>
      <c r="H315" s="20">
        <v>28.8</v>
      </c>
      <c r="I315" s="20">
        <v>633.6</v>
      </c>
    </row>
    <row r="316">
      <c r="A316" s="20">
        <v>2026.0</v>
      </c>
      <c r="B316" s="20">
        <v>3.0</v>
      </c>
      <c r="C316" s="52" t="s">
        <v>205</v>
      </c>
      <c r="D316" s="20" t="s">
        <v>33</v>
      </c>
      <c r="E316" s="20" t="s">
        <v>44</v>
      </c>
      <c r="F316" s="20" t="s">
        <v>61</v>
      </c>
      <c r="G316" s="20">
        <v>22.0</v>
      </c>
      <c r="H316" s="20">
        <v>14.8</v>
      </c>
      <c r="I316" s="20">
        <v>325.6</v>
      </c>
    </row>
    <row r="317">
      <c r="A317" s="20">
        <v>2026.0</v>
      </c>
      <c r="B317" s="20">
        <v>1.0</v>
      </c>
      <c r="C317" s="52" t="s">
        <v>95</v>
      </c>
      <c r="D317" s="20" t="s">
        <v>96</v>
      </c>
      <c r="E317" s="20" t="s">
        <v>31</v>
      </c>
      <c r="F317" s="20" t="s">
        <v>61</v>
      </c>
      <c r="G317" s="20">
        <v>16.0</v>
      </c>
      <c r="H317" s="20">
        <v>10.0</v>
      </c>
      <c r="I317" s="20">
        <v>160.0</v>
      </c>
    </row>
    <row r="318">
      <c r="A318" s="20">
        <v>2026.0</v>
      </c>
      <c r="B318" s="20">
        <v>2.0</v>
      </c>
      <c r="C318" s="52" t="s">
        <v>95</v>
      </c>
      <c r="D318" s="20" t="s">
        <v>96</v>
      </c>
      <c r="E318" s="20" t="s">
        <v>31</v>
      </c>
      <c r="F318" s="20" t="s">
        <v>61</v>
      </c>
      <c r="G318" s="20">
        <v>19.5</v>
      </c>
      <c r="H318" s="20">
        <v>10.0</v>
      </c>
      <c r="I318" s="20">
        <v>195.0</v>
      </c>
    </row>
    <row r="319">
      <c r="A319" s="20">
        <v>2026.0</v>
      </c>
      <c r="B319" s="20">
        <v>3.0</v>
      </c>
      <c r="C319" s="52" t="s">
        <v>95</v>
      </c>
      <c r="D319" s="20" t="s">
        <v>96</v>
      </c>
      <c r="E319" s="20" t="s">
        <v>31</v>
      </c>
      <c r="F319" s="20" t="s">
        <v>61</v>
      </c>
      <c r="G319" s="20">
        <v>16.0</v>
      </c>
      <c r="H319" s="20">
        <v>10.0</v>
      </c>
      <c r="I319" s="20">
        <v>160.0</v>
      </c>
    </row>
    <row r="320">
      <c r="A320" s="20">
        <v>2026.0</v>
      </c>
      <c r="B320" s="20">
        <v>1.0</v>
      </c>
      <c r="C320" s="52" t="s">
        <v>69</v>
      </c>
      <c r="D320" s="20" t="s">
        <v>70</v>
      </c>
      <c r="E320" s="20" t="s">
        <v>17</v>
      </c>
      <c r="F320" s="20" t="s">
        <v>61</v>
      </c>
      <c r="G320" s="20">
        <v>20.0</v>
      </c>
      <c r="H320" s="20">
        <v>4.5</v>
      </c>
      <c r="I320" s="20">
        <v>90.0</v>
      </c>
    </row>
    <row r="321">
      <c r="A321" s="20">
        <v>2026.0</v>
      </c>
      <c r="B321" s="20">
        <v>2.0</v>
      </c>
      <c r="C321" s="52" t="s">
        <v>69</v>
      </c>
      <c r="D321" s="20" t="s">
        <v>70</v>
      </c>
      <c r="E321" s="20" t="s">
        <v>17</v>
      </c>
      <c r="F321" s="20" t="s">
        <v>61</v>
      </c>
      <c r="G321" s="20">
        <v>20.0</v>
      </c>
      <c r="H321" s="20">
        <v>4.5</v>
      </c>
      <c r="I321" s="20">
        <v>90.0</v>
      </c>
    </row>
    <row r="322">
      <c r="A322" s="20">
        <v>2026.0</v>
      </c>
      <c r="B322" s="20">
        <v>3.0</v>
      </c>
      <c r="C322" s="52" t="s">
        <v>69</v>
      </c>
      <c r="D322" s="20" t="s">
        <v>70</v>
      </c>
      <c r="E322" s="20" t="s">
        <v>13</v>
      </c>
      <c r="F322" s="20" t="s">
        <v>61</v>
      </c>
      <c r="G322" s="20">
        <v>22.0</v>
      </c>
      <c r="H322" s="20">
        <v>17.9</v>
      </c>
      <c r="I322" s="20">
        <v>393.8</v>
      </c>
    </row>
    <row r="323">
      <c r="A323" s="20">
        <v>2026.0</v>
      </c>
      <c r="B323" s="20">
        <v>3.0</v>
      </c>
      <c r="C323" s="52" t="s">
        <v>69</v>
      </c>
      <c r="D323" s="20" t="s">
        <v>70</v>
      </c>
      <c r="E323" s="20" t="s">
        <v>17</v>
      </c>
      <c r="F323" s="20" t="s">
        <v>61</v>
      </c>
      <c r="G323" s="20">
        <v>22.0</v>
      </c>
      <c r="H323" s="20">
        <v>4.5</v>
      </c>
      <c r="I323" s="20">
        <v>99.0</v>
      </c>
    </row>
    <row r="324">
      <c r="A324" s="20">
        <v>2026.0</v>
      </c>
      <c r="B324" s="20">
        <v>1.0</v>
      </c>
      <c r="C324" s="52" t="s">
        <v>62</v>
      </c>
      <c r="D324" s="20" t="s">
        <v>207</v>
      </c>
      <c r="E324" s="20" t="s">
        <v>15</v>
      </c>
      <c r="F324" s="20" t="s">
        <v>61</v>
      </c>
      <c r="G324" s="20">
        <v>21.0</v>
      </c>
      <c r="H324" s="20">
        <v>33.1</v>
      </c>
      <c r="I324" s="20">
        <v>695.1</v>
      </c>
    </row>
    <row r="325">
      <c r="A325" s="20">
        <v>2026.0</v>
      </c>
      <c r="B325" s="20">
        <v>1.0</v>
      </c>
      <c r="C325" s="52" t="s">
        <v>208</v>
      </c>
      <c r="D325" s="20" t="s">
        <v>207</v>
      </c>
      <c r="E325" s="20" t="s">
        <v>28</v>
      </c>
      <c r="F325" s="20" t="s">
        <v>61</v>
      </c>
      <c r="G325" s="20">
        <v>18.0</v>
      </c>
      <c r="H325" s="20">
        <v>0.01</v>
      </c>
      <c r="I325" s="20">
        <v>0.18</v>
      </c>
    </row>
    <row r="326">
      <c r="A326" s="20">
        <v>2026.0</v>
      </c>
      <c r="B326" s="20">
        <v>1.0</v>
      </c>
      <c r="C326" s="52" t="s">
        <v>62</v>
      </c>
      <c r="D326" s="20" t="s">
        <v>207</v>
      </c>
      <c r="E326" s="20" t="s">
        <v>35</v>
      </c>
      <c r="F326" s="20" t="s">
        <v>61</v>
      </c>
      <c r="G326" s="20">
        <v>21.0</v>
      </c>
      <c r="H326" s="20">
        <v>7.7</v>
      </c>
      <c r="I326" s="20">
        <v>161.7</v>
      </c>
    </row>
    <row r="327">
      <c r="A327" s="20">
        <v>2026.0</v>
      </c>
      <c r="B327" s="20">
        <v>2.0</v>
      </c>
      <c r="C327" s="52" t="s">
        <v>62</v>
      </c>
      <c r="D327" s="20" t="s">
        <v>207</v>
      </c>
      <c r="E327" s="20" t="s">
        <v>15</v>
      </c>
      <c r="F327" s="20" t="s">
        <v>61</v>
      </c>
      <c r="G327" s="20">
        <v>20.0</v>
      </c>
      <c r="H327" s="20">
        <v>33.1</v>
      </c>
      <c r="I327" s="20">
        <v>662.0</v>
      </c>
    </row>
    <row r="328">
      <c r="A328" s="20">
        <v>2026.0</v>
      </c>
      <c r="B328" s="20">
        <v>2.0</v>
      </c>
      <c r="C328" s="52" t="s">
        <v>208</v>
      </c>
      <c r="D328" s="20" t="s">
        <v>207</v>
      </c>
      <c r="E328" s="20" t="s">
        <v>28</v>
      </c>
      <c r="F328" s="20" t="s">
        <v>61</v>
      </c>
      <c r="G328" s="20">
        <v>18.0</v>
      </c>
      <c r="H328" s="20">
        <v>0.01</v>
      </c>
      <c r="I328" s="20">
        <v>0.18</v>
      </c>
    </row>
    <row r="329">
      <c r="A329" s="20">
        <v>2026.0</v>
      </c>
      <c r="B329" s="20">
        <v>2.0</v>
      </c>
      <c r="C329" s="52" t="s">
        <v>62</v>
      </c>
      <c r="D329" s="20" t="s">
        <v>207</v>
      </c>
      <c r="E329" s="20" t="s">
        <v>35</v>
      </c>
      <c r="F329" s="20" t="s">
        <v>61</v>
      </c>
      <c r="G329" s="20">
        <v>20.0</v>
      </c>
      <c r="H329" s="20">
        <v>7.7</v>
      </c>
      <c r="I329" s="20">
        <v>154.0</v>
      </c>
    </row>
    <row r="330">
      <c r="A330" s="20">
        <v>2026.0</v>
      </c>
      <c r="B330" s="20">
        <v>3.0</v>
      </c>
      <c r="C330" s="52" t="s">
        <v>62</v>
      </c>
      <c r="D330" s="20" t="s">
        <v>207</v>
      </c>
      <c r="E330" s="20" t="s">
        <v>15</v>
      </c>
      <c r="F330" s="20" t="s">
        <v>61</v>
      </c>
      <c r="G330" s="20">
        <v>15.0</v>
      </c>
      <c r="H330" s="20">
        <v>33.1</v>
      </c>
      <c r="I330" s="20">
        <v>496.5</v>
      </c>
    </row>
    <row r="331">
      <c r="A331" s="20">
        <v>2026.0</v>
      </c>
      <c r="B331" s="20">
        <v>3.0</v>
      </c>
      <c r="C331" s="52" t="s">
        <v>208</v>
      </c>
      <c r="D331" s="20" t="s">
        <v>207</v>
      </c>
      <c r="E331" s="20" t="s">
        <v>28</v>
      </c>
      <c r="F331" s="20" t="s">
        <v>61</v>
      </c>
      <c r="G331" s="20">
        <v>18.0</v>
      </c>
      <c r="H331" s="20">
        <v>0.01</v>
      </c>
      <c r="I331" s="20">
        <v>0.18</v>
      </c>
    </row>
    <row r="332">
      <c r="A332" s="20">
        <v>2026.0</v>
      </c>
      <c r="B332" s="20">
        <v>3.0</v>
      </c>
      <c r="C332" s="52" t="s">
        <v>62</v>
      </c>
      <c r="D332" s="20" t="s">
        <v>207</v>
      </c>
      <c r="E332" s="20" t="s">
        <v>35</v>
      </c>
      <c r="F332" s="20" t="s">
        <v>61</v>
      </c>
      <c r="G332" s="20">
        <v>15.0</v>
      </c>
      <c r="H332" s="20">
        <v>7.7</v>
      </c>
      <c r="I332" s="20">
        <v>115.5</v>
      </c>
    </row>
    <row r="333">
      <c r="A333" s="20">
        <v>2026.0</v>
      </c>
      <c r="B333" s="20">
        <v>1.0</v>
      </c>
      <c r="C333" s="52" t="s">
        <v>210</v>
      </c>
      <c r="D333" s="20" t="s">
        <v>211</v>
      </c>
      <c r="E333" s="20" t="s">
        <v>17</v>
      </c>
      <c r="F333" s="20" t="s">
        <v>61</v>
      </c>
      <c r="G333" s="20">
        <v>16.0</v>
      </c>
      <c r="H333" s="20">
        <v>19.4</v>
      </c>
      <c r="I333" s="20">
        <v>310.4</v>
      </c>
    </row>
    <row r="334">
      <c r="A334" s="20">
        <v>2026.0</v>
      </c>
      <c r="B334" s="20">
        <v>2.0</v>
      </c>
      <c r="C334" s="52" t="s">
        <v>210</v>
      </c>
      <c r="D334" s="20" t="s">
        <v>211</v>
      </c>
      <c r="E334" s="20" t="s">
        <v>17</v>
      </c>
      <c r="F334" s="20" t="s">
        <v>61</v>
      </c>
      <c r="G334" s="20">
        <v>15.0</v>
      </c>
      <c r="H334" s="20">
        <v>19.4</v>
      </c>
      <c r="I334" s="20">
        <v>291.0</v>
      </c>
    </row>
    <row r="335">
      <c r="A335" s="20">
        <v>2026.0</v>
      </c>
      <c r="B335" s="20">
        <v>3.0</v>
      </c>
      <c r="C335" s="52" t="s">
        <v>210</v>
      </c>
      <c r="D335" s="20" t="s">
        <v>211</v>
      </c>
      <c r="E335" s="20" t="s">
        <v>17</v>
      </c>
      <c r="F335" s="20" t="s">
        <v>61</v>
      </c>
      <c r="G335" s="20">
        <v>17.0</v>
      </c>
      <c r="H335" s="20">
        <v>19.4</v>
      </c>
      <c r="I335" s="20">
        <v>329.8</v>
      </c>
    </row>
    <row r="336">
      <c r="A336" s="20">
        <v>2026.0</v>
      </c>
      <c r="B336" s="20">
        <v>1.0</v>
      </c>
      <c r="C336" s="52" t="s">
        <v>171</v>
      </c>
      <c r="D336" s="20" t="s">
        <v>212</v>
      </c>
      <c r="E336" s="20" t="s">
        <v>28</v>
      </c>
      <c r="F336" s="20" t="s">
        <v>61</v>
      </c>
      <c r="G336" s="20">
        <v>18.5</v>
      </c>
      <c r="H336" s="20">
        <v>15.7</v>
      </c>
      <c r="I336" s="20">
        <v>290.45</v>
      </c>
    </row>
    <row r="337">
      <c r="A337" s="20">
        <v>2026.0</v>
      </c>
      <c r="B337" s="20">
        <v>2.0</v>
      </c>
      <c r="C337" s="52" t="s">
        <v>171</v>
      </c>
      <c r="D337" s="20" t="s">
        <v>212</v>
      </c>
      <c r="E337" s="20" t="s">
        <v>28</v>
      </c>
      <c r="F337" s="20" t="s">
        <v>61</v>
      </c>
      <c r="G337" s="20">
        <v>17.5</v>
      </c>
      <c r="H337" s="20">
        <v>15.7</v>
      </c>
      <c r="I337" s="20">
        <v>274.75</v>
      </c>
    </row>
    <row r="338">
      <c r="A338" s="20">
        <v>2026.0</v>
      </c>
      <c r="B338" s="20">
        <v>3.0</v>
      </c>
      <c r="C338" s="52" t="s">
        <v>171</v>
      </c>
      <c r="D338" s="20" t="s">
        <v>212</v>
      </c>
      <c r="E338" s="20" t="s">
        <v>28</v>
      </c>
      <c r="F338" s="20" t="s">
        <v>61</v>
      </c>
      <c r="G338" s="20">
        <v>21.5</v>
      </c>
      <c r="H338" s="20">
        <v>15.7</v>
      </c>
      <c r="I338" s="20">
        <v>337.55</v>
      </c>
    </row>
    <row r="339">
      <c r="A339" s="20">
        <v>2026.0</v>
      </c>
      <c r="B339" s="20">
        <v>1.0</v>
      </c>
      <c r="C339" s="52" t="s">
        <v>213</v>
      </c>
      <c r="D339" s="20" t="s">
        <v>214</v>
      </c>
      <c r="E339" s="20" t="s">
        <v>28</v>
      </c>
      <c r="F339" s="20" t="s">
        <v>61</v>
      </c>
      <c r="G339" s="20">
        <v>20.0</v>
      </c>
      <c r="H339" s="20">
        <v>46.5</v>
      </c>
      <c r="I339" s="20">
        <v>930.0</v>
      </c>
    </row>
    <row r="340">
      <c r="A340" s="20">
        <v>2026.0</v>
      </c>
      <c r="B340" s="20">
        <v>2.0</v>
      </c>
      <c r="C340" s="52" t="s">
        <v>213</v>
      </c>
      <c r="D340" s="20" t="s">
        <v>214</v>
      </c>
      <c r="E340" s="20" t="s">
        <v>28</v>
      </c>
      <c r="F340" s="20" t="s">
        <v>61</v>
      </c>
      <c r="G340" s="20">
        <v>15.0</v>
      </c>
      <c r="H340" s="20">
        <v>46.5</v>
      </c>
      <c r="I340" s="20">
        <v>697.5</v>
      </c>
    </row>
    <row r="341">
      <c r="A341" s="20">
        <v>2026.0</v>
      </c>
      <c r="B341" s="20">
        <v>3.0</v>
      </c>
      <c r="C341" s="52" t="s">
        <v>213</v>
      </c>
      <c r="D341" s="20" t="s">
        <v>214</v>
      </c>
      <c r="E341" s="20" t="s">
        <v>28</v>
      </c>
      <c r="F341" s="20" t="s">
        <v>61</v>
      </c>
      <c r="G341" s="20">
        <v>22.0</v>
      </c>
      <c r="H341" s="20">
        <v>46.5</v>
      </c>
      <c r="I341" s="20">
        <v>1023.0</v>
      </c>
    </row>
    <row r="342">
      <c r="A342" s="20">
        <v>2026.0</v>
      </c>
      <c r="B342" s="20">
        <v>1.0</v>
      </c>
      <c r="C342" s="52" t="s">
        <v>62</v>
      </c>
      <c r="D342" s="20" t="s">
        <v>215</v>
      </c>
      <c r="E342" s="20" t="s">
        <v>15</v>
      </c>
      <c r="F342" s="20" t="s">
        <v>61</v>
      </c>
      <c r="G342" s="20">
        <v>19.5</v>
      </c>
      <c r="H342" s="20">
        <v>14.5</v>
      </c>
      <c r="I342" s="20">
        <v>282.75</v>
      </c>
    </row>
    <row r="343">
      <c r="A343" s="20">
        <v>2026.0</v>
      </c>
      <c r="B343" s="20">
        <v>1.0</v>
      </c>
      <c r="C343" s="52" t="s">
        <v>62</v>
      </c>
      <c r="D343" s="20" t="s">
        <v>215</v>
      </c>
      <c r="E343" s="20" t="s">
        <v>35</v>
      </c>
      <c r="F343" s="20" t="s">
        <v>61</v>
      </c>
      <c r="G343" s="20">
        <v>19.5</v>
      </c>
      <c r="H343" s="20">
        <v>3.4</v>
      </c>
      <c r="I343" s="20">
        <v>66.3</v>
      </c>
    </row>
    <row r="344">
      <c r="A344" s="20">
        <v>2026.0</v>
      </c>
      <c r="B344" s="20">
        <v>2.0</v>
      </c>
      <c r="C344" s="52" t="s">
        <v>62</v>
      </c>
      <c r="D344" s="20" t="s">
        <v>215</v>
      </c>
      <c r="E344" s="20" t="s">
        <v>15</v>
      </c>
      <c r="F344" s="20" t="s">
        <v>61</v>
      </c>
      <c r="G344" s="20">
        <v>19.5</v>
      </c>
      <c r="H344" s="20">
        <v>14.5</v>
      </c>
      <c r="I344" s="20">
        <v>282.75</v>
      </c>
    </row>
    <row r="345">
      <c r="A345" s="20">
        <v>2026.0</v>
      </c>
      <c r="B345" s="20">
        <v>2.0</v>
      </c>
      <c r="C345" s="52" t="s">
        <v>62</v>
      </c>
      <c r="D345" s="20" t="s">
        <v>215</v>
      </c>
      <c r="E345" s="20" t="s">
        <v>35</v>
      </c>
      <c r="F345" s="20" t="s">
        <v>61</v>
      </c>
      <c r="G345" s="20">
        <v>19.5</v>
      </c>
      <c r="H345" s="20">
        <v>3.4</v>
      </c>
      <c r="I345" s="20">
        <v>66.3</v>
      </c>
    </row>
    <row r="346">
      <c r="A346" s="20">
        <v>2026.0</v>
      </c>
      <c r="B346" s="20">
        <v>3.0</v>
      </c>
      <c r="C346" s="52" t="s">
        <v>62</v>
      </c>
      <c r="D346" s="20" t="s">
        <v>215</v>
      </c>
      <c r="E346" s="20" t="s">
        <v>15</v>
      </c>
      <c r="F346" s="20" t="s">
        <v>61</v>
      </c>
      <c r="G346" s="20">
        <v>21.0</v>
      </c>
      <c r="H346" s="20">
        <v>14.5</v>
      </c>
      <c r="I346" s="20">
        <v>304.5</v>
      </c>
    </row>
    <row r="347">
      <c r="A347" s="20">
        <v>2026.0</v>
      </c>
      <c r="B347" s="20">
        <v>3.0</v>
      </c>
      <c r="C347" s="52" t="s">
        <v>62</v>
      </c>
      <c r="D347" s="20" t="s">
        <v>215</v>
      </c>
      <c r="E347" s="20" t="s">
        <v>35</v>
      </c>
      <c r="F347" s="20" t="s">
        <v>61</v>
      </c>
      <c r="G347" s="20">
        <v>21.0</v>
      </c>
      <c r="H347" s="20">
        <v>3.4</v>
      </c>
      <c r="I347" s="20">
        <v>71.4</v>
      </c>
    </row>
    <row r="348">
      <c r="A348" s="20">
        <v>2026.0</v>
      </c>
      <c r="B348" s="20">
        <v>1.0</v>
      </c>
      <c r="C348" s="52" t="s">
        <v>62</v>
      </c>
      <c r="D348" s="20" t="s">
        <v>216</v>
      </c>
      <c r="E348" s="20" t="s">
        <v>15</v>
      </c>
      <c r="F348" s="20" t="s">
        <v>61</v>
      </c>
      <c r="G348" s="20">
        <v>20.0</v>
      </c>
      <c r="H348" s="20">
        <v>48.4</v>
      </c>
      <c r="I348" s="20">
        <v>968.0</v>
      </c>
    </row>
    <row r="349">
      <c r="A349" s="20">
        <v>2026.0</v>
      </c>
      <c r="B349" s="20">
        <v>1.0</v>
      </c>
      <c r="C349" s="52" t="s">
        <v>62</v>
      </c>
      <c r="D349" s="20" t="s">
        <v>216</v>
      </c>
      <c r="E349" s="20" t="s">
        <v>35</v>
      </c>
      <c r="F349" s="20" t="s">
        <v>61</v>
      </c>
      <c r="G349" s="20">
        <v>20.0</v>
      </c>
      <c r="H349" s="20">
        <v>11.2</v>
      </c>
      <c r="I349" s="20">
        <v>224.0</v>
      </c>
    </row>
    <row r="350">
      <c r="A350" s="20">
        <v>2026.0</v>
      </c>
      <c r="B350" s="20">
        <v>2.0</v>
      </c>
      <c r="C350" s="52" t="s">
        <v>62</v>
      </c>
      <c r="D350" s="20" t="s">
        <v>216</v>
      </c>
      <c r="E350" s="20" t="s">
        <v>15</v>
      </c>
      <c r="F350" s="20" t="s">
        <v>61</v>
      </c>
      <c r="G350" s="20">
        <v>18.0</v>
      </c>
      <c r="H350" s="20">
        <v>48.4</v>
      </c>
      <c r="I350" s="20">
        <v>871.2</v>
      </c>
    </row>
    <row r="351">
      <c r="A351" s="20">
        <v>2026.0</v>
      </c>
      <c r="B351" s="20">
        <v>2.0</v>
      </c>
      <c r="C351" s="52" t="s">
        <v>62</v>
      </c>
      <c r="D351" s="20" t="s">
        <v>216</v>
      </c>
      <c r="E351" s="20" t="s">
        <v>35</v>
      </c>
      <c r="F351" s="20" t="s">
        <v>61</v>
      </c>
      <c r="G351" s="20">
        <v>18.0</v>
      </c>
      <c r="H351" s="20">
        <v>11.2</v>
      </c>
      <c r="I351" s="20">
        <v>201.6</v>
      </c>
    </row>
    <row r="352">
      <c r="A352" s="20">
        <v>2026.0</v>
      </c>
      <c r="B352" s="20">
        <v>3.0</v>
      </c>
      <c r="C352" s="52" t="s">
        <v>62</v>
      </c>
      <c r="D352" s="20" t="s">
        <v>216</v>
      </c>
      <c r="E352" s="20" t="s">
        <v>15</v>
      </c>
      <c r="F352" s="20" t="s">
        <v>61</v>
      </c>
      <c r="G352" s="20">
        <v>18.0</v>
      </c>
      <c r="H352" s="20">
        <v>48.4</v>
      </c>
      <c r="I352" s="20">
        <v>871.2</v>
      </c>
    </row>
    <row r="353">
      <c r="A353" s="20">
        <v>2026.0</v>
      </c>
      <c r="B353" s="20">
        <v>3.0</v>
      </c>
      <c r="C353" s="52" t="s">
        <v>62</v>
      </c>
      <c r="D353" s="20" t="s">
        <v>216</v>
      </c>
      <c r="E353" s="20" t="s">
        <v>35</v>
      </c>
      <c r="F353" s="20" t="s">
        <v>61</v>
      </c>
      <c r="G353" s="20">
        <v>18.0</v>
      </c>
      <c r="H353" s="20">
        <v>11.2</v>
      </c>
      <c r="I353" s="20">
        <v>201.6</v>
      </c>
    </row>
    <row r="354">
      <c r="A354" s="20">
        <v>2026.0</v>
      </c>
      <c r="B354" s="20">
        <v>1.0</v>
      </c>
      <c r="C354" s="52" t="s">
        <v>217</v>
      </c>
      <c r="D354" s="20" t="s">
        <v>34</v>
      </c>
      <c r="E354" s="20" t="s">
        <v>34</v>
      </c>
      <c r="F354" s="20" t="s">
        <v>61</v>
      </c>
      <c r="G354" s="20">
        <v>2.0</v>
      </c>
      <c r="H354" s="20">
        <v>17.6</v>
      </c>
      <c r="I354" s="20">
        <v>35.2</v>
      </c>
    </row>
    <row r="355">
      <c r="A355" s="20">
        <v>2026.0</v>
      </c>
      <c r="B355" s="20">
        <v>1.0</v>
      </c>
      <c r="C355" s="52" t="s">
        <v>218</v>
      </c>
      <c r="D355" s="20" t="s">
        <v>34</v>
      </c>
      <c r="E355" s="20" t="s">
        <v>34</v>
      </c>
      <c r="F355" s="20" t="s">
        <v>61</v>
      </c>
      <c r="G355" s="20">
        <v>10.0</v>
      </c>
      <c r="H355" s="20">
        <v>17.6</v>
      </c>
      <c r="I355" s="20">
        <v>176.0</v>
      </c>
    </row>
    <row r="356">
      <c r="A356" s="20">
        <v>2026.0</v>
      </c>
      <c r="B356" s="20">
        <v>1.0</v>
      </c>
      <c r="C356" s="52" t="s">
        <v>218</v>
      </c>
      <c r="D356" s="20" t="s">
        <v>34</v>
      </c>
      <c r="E356" s="20" t="s">
        <v>34</v>
      </c>
      <c r="F356" s="20" t="s">
        <v>61</v>
      </c>
      <c r="G356" s="20">
        <v>8.0</v>
      </c>
      <c r="H356" s="20">
        <v>56.2</v>
      </c>
      <c r="I356" s="20">
        <v>449.6</v>
      </c>
    </row>
    <row r="357">
      <c r="A357" s="20">
        <v>2026.0</v>
      </c>
      <c r="B357" s="20">
        <v>2.0</v>
      </c>
      <c r="C357" s="52" t="s">
        <v>217</v>
      </c>
      <c r="D357" s="20" t="s">
        <v>34</v>
      </c>
      <c r="E357" s="20" t="s">
        <v>34</v>
      </c>
      <c r="F357" s="20" t="s">
        <v>61</v>
      </c>
      <c r="G357" s="20">
        <v>4.0</v>
      </c>
      <c r="H357" s="20">
        <v>57.6</v>
      </c>
      <c r="I357" s="20">
        <v>230.4</v>
      </c>
    </row>
    <row r="358">
      <c r="A358" s="20">
        <v>2026.0</v>
      </c>
      <c r="B358" s="20">
        <v>2.0</v>
      </c>
      <c r="C358" s="52" t="s">
        <v>218</v>
      </c>
      <c r="D358" s="20" t="s">
        <v>34</v>
      </c>
      <c r="E358" s="20" t="s">
        <v>34</v>
      </c>
      <c r="F358" s="20" t="s">
        <v>61</v>
      </c>
      <c r="G358" s="20">
        <v>16.0</v>
      </c>
      <c r="H358" s="20">
        <v>57.6</v>
      </c>
      <c r="I358" s="20">
        <v>921.6</v>
      </c>
    </row>
    <row r="359">
      <c r="A359" s="20">
        <v>2026.0</v>
      </c>
      <c r="B359" s="20">
        <v>3.0</v>
      </c>
      <c r="C359" s="52" t="s">
        <v>217</v>
      </c>
      <c r="D359" s="20" t="s">
        <v>34</v>
      </c>
      <c r="E359" s="20" t="s">
        <v>34</v>
      </c>
      <c r="F359" s="20" t="s">
        <v>61</v>
      </c>
      <c r="G359" s="20">
        <v>3.0</v>
      </c>
      <c r="H359" s="20">
        <v>57.6</v>
      </c>
      <c r="I359" s="20">
        <v>172.8</v>
      </c>
    </row>
    <row r="360">
      <c r="A360" s="20">
        <v>2026.0</v>
      </c>
      <c r="B360" s="20">
        <v>3.0</v>
      </c>
      <c r="C360" s="52" t="s">
        <v>218</v>
      </c>
      <c r="D360" s="20" t="s">
        <v>34</v>
      </c>
      <c r="E360" s="20" t="s">
        <v>34</v>
      </c>
      <c r="F360" s="20" t="s">
        <v>61</v>
      </c>
      <c r="G360" s="20">
        <v>12.0</v>
      </c>
      <c r="H360" s="20">
        <v>57.6</v>
      </c>
      <c r="I360" s="20">
        <v>691.2</v>
      </c>
    </row>
    <row r="361">
      <c r="A361" s="20">
        <v>2026.0</v>
      </c>
      <c r="B361" s="20">
        <v>1.0</v>
      </c>
      <c r="C361" s="52" t="s">
        <v>219</v>
      </c>
      <c r="D361" s="20" t="s">
        <v>35</v>
      </c>
      <c r="E361" s="20" t="s">
        <v>15</v>
      </c>
      <c r="F361" s="20" t="s">
        <v>61</v>
      </c>
      <c r="G361" s="20">
        <v>5.0</v>
      </c>
      <c r="H361" s="20">
        <v>6.7</v>
      </c>
      <c r="I361" s="20">
        <v>33.5</v>
      </c>
    </row>
    <row r="362">
      <c r="A362" s="20">
        <v>2026.0</v>
      </c>
      <c r="B362" s="20">
        <v>1.0</v>
      </c>
      <c r="C362" s="52" t="s">
        <v>219</v>
      </c>
      <c r="D362" s="20" t="s">
        <v>35</v>
      </c>
      <c r="E362" s="20" t="s">
        <v>15</v>
      </c>
      <c r="F362" s="20" t="s">
        <v>61</v>
      </c>
      <c r="G362" s="20">
        <v>11.0</v>
      </c>
      <c r="H362" s="20">
        <v>6.7</v>
      </c>
      <c r="I362" s="20">
        <v>73.7</v>
      </c>
    </row>
    <row r="363">
      <c r="A363" s="20">
        <v>2026.0</v>
      </c>
      <c r="B363" s="20">
        <v>1.0</v>
      </c>
      <c r="C363" s="52" t="s">
        <v>219</v>
      </c>
      <c r="D363" s="20" t="s">
        <v>35</v>
      </c>
      <c r="E363" s="20" t="s">
        <v>23</v>
      </c>
      <c r="F363" s="20" t="s">
        <v>61</v>
      </c>
      <c r="G363" s="20">
        <v>5.0</v>
      </c>
      <c r="H363" s="20">
        <v>3.3</v>
      </c>
      <c r="I363" s="20">
        <v>16.5</v>
      </c>
    </row>
    <row r="364">
      <c r="A364" s="20">
        <v>2026.0</v>
      </c>
      <c r="B364" s="20">
        <v>1.0</v>
      </c>
      <c r="C364" s="52" t="s">
        <v>219</v>
      </c>
      <c r="D364" s="20" t="s">
        <v>35</v>
      </c>
      <c r="E364" s="20" t="s">
        <v>23</v>
      </c>
      <c r="F364" s="20" t="s">
        <v>61</v>
      </c>
      <c r="G364" s="20">
        <v>11.0</v>
      </c>
      <c r="H364" s="20">
        <v>3.3</v>
      </c>
      <c r="I364" s="20">
        <v>36.3</v>
      </c>
    </row>
    <row r="365">
      <c r="A365" s="20">
        <v>2026.0</v>
      </c>
      <c r="B365" s="20">
        <v>2.0</v>
      </c>
      <c r="C365" s="52" t="s">
        <v>219</v>
      </c>
      <c r="D365" s="20" t="s">
        <v>35</v>
      </c>
      <c r="E365" s="20" t="s">
        <v>15</v>
      </c>
      <c r="F365" s="20" t="s">
        <v>61</v>
      </c>
      <c r="G365" s="20">
        <v>21.0</v>
      </c>
      <c r="H365" s="20">
        <v>6.7</v>
      </c>
      <c r="I365" s="20">
        <v>140.7</v>
      </c>
    </row>
    <row r="366">
      <c r="A366" s="20">
        <v>2026.0</v>
      </c>
      <c r="B366" s="20">
        <v>2.0</v>
      </c>
      <c r="C366" s="52" t="s">
        <v>219</v>
      </c>
      <c r="D366" s="20" t="s">
        <v>35</v>
      </c>
      <c r="E366" s="20" t="s">
        <v>23</v>
      </c>
      <c r="F366" s="20" t="s">
        <v>61</v>
      </c>
      <c r="G366" s="20">
        <v>21.0</v>
      </c>
      <c r="H366" s="20">
        <v>3.3</v>
      </c>
      <c r="I366" s="20">
        <v>69.3</v>
      </c>
    </row>
    <row r="367">
      <c r="A367" s="20">
        <v>2026.0</v>
      </c>
      <c r="B367" s="20">
        <v>3.0</v>
      </c>
      <c r="C367" s="52" t="s">
        <v>219</v>
      </c>
      <c r="D367" s="20" t="s">
        <v>35</v>
      </c>
      <c r="E367" s="20" t="s">
        <v>15</v>
      </c>
      <c r="F367" s="20" t="s">
        <v>61</v>
      </c>
      <c r="G367" s="20">
        <v>1.0</v>
      </c>
      <c r="H367" s="20">
        <v>6.7</v>
      </c>
      <c r="I367" s="20">
        <v>6.7</v>
      </c>
    </row>
    <row r="368">
      <c r="A368" s="20">
        <v>2026.0</v>
      </c>
      <c r="B368" s="20">
        <v>3.0</v>
      </c>
      <c r="C368" s="52" t="s">
        <v>219</v>
      </c>
      <c r="D368" s="20" t="s">
        <v>35</v>
      </c>
      <c r="E368" s="20" t="s">
        <v>15</v>
      </c>
      <c r="F368" s="20" t="s">
        <v>61</v>
      </c>
      <c r="G368" s="20">
        <v>20.0</v>
      </c>
      <c r="H368" s="20">
        <v>6.7</v>
      </c>
      <c r="I368" s="20">
        <v>134.0</v>
      </c>
    </row>
    <row r="369">
      <c r="A369" s="20">
        <v>2026.0</v>
      </c>
      <c r="B369" s="20">
        <v>3.0</v>
      </c>
      <c r="C369" s="52" t="s">
        <v>219</v>
      </c>
      <c r="D369" s="20" t="s">
        <v>35</v>
      </c>
      <c r="E369" s="20" t="s">
        <v>23</v>
      </c>
      <c r="F369" s="20" t="s">
        <v>61</v>
      </c>
      <c r="G369" s="20">
        <v>1.0</v>
      </c>
      <c r="H369" s="20">
        <v>3.3</v>
      </c>
      <c r="I369" s="20">
        <v>3.3</v>
      </c>
    </row>
    <row r="370">
      <c r="A370" s="20">
        <v>2026.0</v>
      </c>
      <c r="B370" s="20">
        <v>3.0</v>
      </c>
      <c r="C370" s="52" t="s">
        <v>219</v>
      </c>
      <c r="D370" s="20" t="s">
        <v>35</v>
      </c>
      <c r="E370" s="20" t="s">
        <v>23</v>
      </c>
      <c r="F370" s="20" t="s">
        <v>61</v>
      </c>
      <c r="G370" s="20">
        <v>20.0</v>
      </c>
      <c r="H370" s="20">
        <v>3.3</v>
      </c>
      <c r="I370" s="20">
        <v>66.0</v>
      </c>
    </row>
    <row r="371">
      <c r="A371" s="20">
        <v>2026.0</v>
      </c>
      <c r="B371" s="20">
        <v>1.0</v>
      </c>
      <c r="C371" s="52" t="s">
        <v>220</v>
      </c>
      <c r="D371" s="20" t="s">
        <v>221</v>
      </c>
      <c r="E371" s="20" t="s">
        <v>31</v>
      </c>
      <c r="F371" s="20" t="s">
        <v>61</v>
      </c>
      <c r="G371" s="20">
        <v>10.0</v>
      </c>
      <c r="H371" s="20">
        <v>33.3</v>
      </c>
      <c r="I371" s="20">
        <v>333.0</v>
      </c>
    </row>
    <row r="372">
      <c r="A372" s="20">
        <v>2026.0</v>
      </c>
      <c r="B372" s="20">
        <v>2.0</v>
      </c>
      <c r="C372" s="52" t="s">
        <v>220</v>
      </c>
      <c r="D372" s="20" t="s">
        <v>221</v>
      </c>
      <c r="E372" s="20" t="s">
        <v>31</v>
      </c>
      <c r="F372" s="20" t="s">
        <v>61</v>
      </c>
      <c r="G372" s="20">
        <v>15.0</v>
      </c>
      <c r="H372" s="20">
        <v>33.3</v>
      </c>
      <c r="I372" s="20">
        <v>499.5</v>
      </c>
    </row>
    <row r="373">
      <c r="A373" s="20">
        <v>2026.0</v>
      </c>
      <c r="B373" s="20">
        <v>3.0</v>
      </c>
      <c r="C373" s="52" t="s">
        <v>220</v>
      </c>
      <c r="D373" s="20" t="s">
        <v>221</v>
      </c>
      <c r="E373" s="20" t="s">
        <v>31</v>
      </c>
      <c r="F373" s="20" t="s">
        <v>61</v>
      </c>
      <c r="G373" s="20">
        <v>21.0</v>
      </c>
      <c r="H373" s="20">
        <v>33.3</v>
      </c>
      <c r="I373" s="20">
        <v>699.3</v>
      </c>
    </row>
    <row r="374">
      <c r="A374" s="20">
        <v>2026.0</v>
      </c>
      <c r="B374" s="20">
        <v>1.0</v>
      </c>
      <c r="C374" s="52" t="s">
        <v>223</v>
      </c>
      <c r="D374" s="20" t="s">
        <v>47</v>
      </c>
      <c r="E374" s="20" t="s">
        <v>26</v>
      </c>
      <c r="F374" s="20" t="s">
        <v>61</v>
      </c>
      <c r="G374" s="20">
        <v>13.0</v>
      </c>
      <c r="H374" s="20">
        <v>52.0</v>
      </c>
      <c r="I374" s="20">
        <v>676.0</v>
      </c>
    </row>
    <row r="375">
      <c r="A375" s="20">
        <v>2026.0</v>
      </c>
      <c r="B375" s="20">
        <v>1.0</v>
      </c>
      <c r="C375" s="52" t="s">
        <v>224</v>
      </c>
      <c r="D375" s="20" t="s">
        <v>47</v>
      </c>
      <c r="E375" s="20" t="s">
        <v>28</v>
      </c>
      <c r="F375" s="20" t="s">
        <v>61</v>
      </c>
      <c r="G375" s="20">
        <v>11.0</v>
      </c>
      <c r="H375" s="20">
        <v>9.3</v>
      </c>
      <c r="I375" s="20">
        <v>102.3</v>
      </c>
    </row>
    <row r="376">
      <c r="A376" s="20">
        <v>2026.0</v>
      </c>
      <c r="B376" s="20">
        <v>2.0</v>
      </c>
      <c r="C376" s="52" t="s">
        <v>223</v>
      </c>
      <c r="D376" s="20" t="s">
        <v>47</v>
      </c>
      <c r="E376" s="20" t="s">
        <v>26</v>
      </c>
      <c r="F376" s="20" t="s">
        <v>61</v>
      </c>
      <c r="G376" s="20">
        <v>20.0</v>
      </c>
      <c r="H376" s="20">
        <v>52.0</v>
      </c>
      <c r="I376" s="20">
        <v>1040.0</v>
      </c>
    </row>
    <row r="377">
      <c r="A377" s="20">
        <v>2026.0</v>
      </c>
      <c r="B377" s="20">
        <v>3.0</v>
      </c>
      <c r="C377" s="52" t="s">
        <v>223</v>
      </c>
      <c r="D377" s="20" t="s">
        <v>47</v>
      </c>
      <c r="E377" s="20" t="s">
        <v>26</v>
      </c>
      <c r="F377" s="20" t="s">
        <v>61</v>
      </c>
      <c r="G377" s="20">
        <v>17.0</v>
      </c>
      <c r="H377" s="20">
        <v>52.0</v>
      </c>
      <c r="I377" s="20">
        <v>884.0</v>
      </c>
    </row>
    <row r="378">
      <c r="A378" s="20">
        <v>2026.0</v>
      </c>
      <c r="B378" s="20">
        <v>1.0</v>
      </c>
      <c r="C378" s="52" t="s">
        <v>225</v>
      </c>
      <c r="D378" s="20" t="s">
        <v>226</v>
      </c>
      <c r="E378" s="20" t="s">
        <v>35</v>
      </c>
      <c r="F378" s="20" t="s">
        <v>61</v>
      </c>
      <c r="G378" s="20">
        <v>15.0</v>
      </c>
      <c r="H378" s="20">
        <v>30.9</v>
      </c>
      <c r="I378" s="20">
        <v>463.5</v>
      </c>
    </row>
    <row r="379">
      <c r="A379" s="20">
        <v>2026.0</v>
      </c>
      <c r="B379" s="20">
        <v>2.0</v>
      </c>
      <c r="C379" s="52" t="s">
        <v>225</v>
      </c>
      <c r="D379" s="20" t="s">
        <v>226</v>
      </c>
      <c r="E379" s="20" t="s">
        <v>35</v>
      </c>
      <c r="F379" s="20" t="s">
        <v>61</v>
      </c>
      <c r="G379" s="20">
        <v>20.0</v>
      </c>
      <c r="H379" s="20">
        <v>30.9</v>
      </c>
      <c r="I379" s="20">
        <v>618.0</v>
      </c>
    </row>
    <row r="380">
      <c r="A380" s="20">
        <v>2026.0</v>
      </c>
      <c r="B380" s="20">
        <v>3.0</v>
      </c>
      <c r="C380" s="52" t="s">
        <v>225</v>
      </c>
      <c r="D380" s="20" t="s">
        <v>226</v>
      </c>
      <c r="E380" s="20" t="s">
        <v>35</v>
      </c>
      <c r="F380" s="20" t="s">
        <v>61</v>
      </c>
      <c r="G380" s="20">
        <v>17.0</v>
      </c>
      <c r="H380" s="20">
        <v>30.9</v>
      </c>
      <c r="I380" s="20">
        <v>525.3</v>
      </c>
    </row>
    <row r="381">
      <c r="A381" s="20">
        <v>2026.0</v>
      </c>
      <c r="B381" s="20">
        <v>1.0</v>
      </c>
      <c r="C381" s="52" t="s">
        <v>227</v>
      </c>
      <c r="D381" s="20" t="s">
        <v>228</v>
      </c>
      <c r="E381" s="20" t="s">
        <v>35</v>
      </c>
      <c r="F381" s="20" t="s">
        <v>61</v>
      </c>
      <c r="G381" s="20">
        <v>3.0</v>
      </c>
      <c r="H381" s="20">
        <v>28.9</v>
      </c>
      <c r="I381" s="20">
        <v>86.7</v>
      </c>
    </row>
    <row r="382">
      <c r="A382" s="20">
        <v>2026.0</v>
      </c>
      <c r="B382" s="20">
        <v>1.0</v>
      </c>
      <c r="C382" s="52" t="s">
        <v>229</v>
      </c>
      <c r="D382" s="20" t="s">
        <v>88</v>
      </c>
      <c r="E382" s="20" t="s">
        <v>17</v>
      </c>
      <c r="F382" s="20" t="s">
        <v>61</v>
      </c>
      <c r="G382" s="20">
        <v>17.5</v>
      </c>
      <c r="H382" s="20">
        <v>13.3</v>
      </c>
      <c r="I382" s="20">
        <v>232.75</v>
      </c>
    </row>
    <row r="383">
      <c r="A383" s="20">
        <v>2026.0</v>
      </c>
      <c r="B383" s="20">
        <v>2.0</v>
      </c>
      <c r="C383" s="52" t="s">
        <v>229</v>
      </c>
      <c r="D383" s="20" t="s">
        <v>88</v>
      </c>
      <c r="E383" s="20" t="s">
        <v>17</v>
      </c>
      <c r="F383" s="20" t="s">
        <v>61</v>
      </c>
      <c r="G383" s="20">
        <v>20.0</v>
      </c>
      <c r="H383" s="20">
        <v>13.3</v>
      </c>
      <c r="I383" s="20">
        <v>266.0</v>
      </c>
    </row>
    <row r="384">
      <c r="A384" s="20">
        <v>2026.0</v>
      </c>
      <c r="B384" s="20">
        <v>3.0</v>
      </c>
      <c r="C384" s="52" t="s">
        <v>229</v>
      </c>
      <c r="D384" s="20" t="s">
        <v>88</v>
      </c>
      <c r="E384" s="20" t="s">
        <v>17</v>
      </c>
      <c r="F384" s="20" t="s">
        <v>61</v>
      </c>
      <c r="G384" s="20">
        <v>22.0</v>
      </c>
      <c r="H384" s="20">
        <v>13.3</v>
      </c>
      <c r="I384" s="20">
        <v>292.6</v>
      </c>
    </row>
    <row r="385">
      <c r="A385" s="20">
        <v>2026.0</v>
      </c>
      <c r="B385" s="20">
        <v>1.0</v>
      </c>
      <c r="C385" s="52" t="s">
        <v>230</v>
      </c>
      <c r="D385" s="20" t="s">
        <v>37</v>
      </c>
      <c r="E385" s="20" t="s">
        <v>26</v>
      </c>
      <c r="F385" s="20" t="s">
        <v>61</v>
      </c>
      <c r="G385" s="20">
        <v>18.5</v>
      </c>
      <c r="H385" s="20">
        <v>16.5</v>
      </c>
      <c r="I385" s="20">
        <v>305.25</v>
      </c>
    </row>
    <row r="386">
      <c r="A386" s="20">
        <v>2026.0</v>
      </c>
      <c r="B386" s="20">
        <v>1.0</v>
      </c>
      <c r="C386" s="52" t="s">
        <v>230</v>
      </c>
      <c r="D386" s="20" t="s">
        <v>37</v>
      </c>
      <c r="E386" s="20" t="s">
        <v>38</v>
      </c>
      <c r="F386" s="20" t="s">
        <v>61</v>
      </c>
      <c r="G386" s="20">
        <v>18.5</v>
      </c>
      <c r="H386" s="20">
        <v>3.5</v>
      </c>
      <c r="I386" s="20">
        <v>64.75</v>
      </c>
    </row>
    <row r="387">
      <c r="A387" s="20">
        <v>2026.0</v>
      </c>
      <c r="B387" s="20">
        <v>2.0</v>
      </c>
      <c r="C387" s="52" t="s">
        <v>230</v>
      </c>
      <c r="D387" s="20" t="s">
        <v>37</v>
      </c>
      <c r="E387" s="20" t="s">
        <v>26</v>
      </c>
      <c r="F387" s="20" t="s">
        <v>61</v>
      </c>
      <c r="G387" s="20">
        <v>19.0</v>
      </c>
      <c r="H387" s="20">
        <v>16.5</v>
      </c>
      <c r="I387" s="20">
        <v>313.5</v>
      </c>
    </row>
    <row r="388">
      <c r="A388" s="20">
        <v>2026.0</v>
      </c>
      <c r="B388" s="20">
        <v>2.0</v>
      </c>
      <c r="C388" s="52" t="s">
        <v>230</v>
      </c>
      <c r="D388" s="20" t="s">
        <v>37</v>
      </c>
      <c r="E388" s="20" t="s">
        <v>38</v>
      </c>
      <c r="F388" s="20" t="s">
        <v>61</v>
      </c>
      <c r="G388" s="20">
        <v>19.0</v>
      </c>
      <c r="H388" s="20">
        <v>3.5</v>
      </c>
      <c r="I388" s="20">
        <v>66.5</v>
      </c>
    </row>
    <row r="389">
      <c r="A389" s="20">
        <v>2026.0</v>
      </c>
      <c r="B389" s="20">
        <v>3.0</v>
      </c>
      <c r="C389" s="52" t="s">
        <v>230</v>
      </c>
      <c r="D389" s="20" t="s">
        <v>37</v>
      </c>
      <c r="E389" s="20" t="s">
        <v>26</v>
      </c>
      <c r="F389" s="20" t="s">
        <v>61</v>
      </c>
      <c r="G389" s="20">
        <v>22.0</v>
      </c>
      <c r="H389" s="20">
        <v>16.5</v>
      </c>
      <c r="I389" s="20">
        <v>363.0</v>
      </c>
    </row>
    <row r="390">
      <c r="A390" s="20">
        <v>2026.0</v>
      </c>
      <c r="B390" s="20">
        <v>3.0</v>
      </c>
      <c r="C390" s="52" t="s">
        <v>230</v>
      </c>
      <c r="D390" s="20" t="s">
        <v>37</v>
      </c>
      <c r="E390" s="20" t="s">
        <v>38</v>
      </c>
      <c r="F390" s="20" t="s">
        <v>61</v>
      </c>
      <c r="G390" s="20">
        <v>22.0</v>
      </c>
      <c r="H390" s="20">
        <v>3.5</v>
      </c>
      <c r="I390" s="20">
        <v>77.0</v>
      </c>
    </row>
    <row r="391">
      <c r="A391" s="20">
        <v>2026.0</v>
      </c>
      <c r="B391" s="20">
        <v>1.0</v>
      </c>
      <c r="C391" s="52" t="s">
        <v>231</v>
      </c>
      <c r="D391" s="20" t="s">
        <v>38</v>
      </c>
      <c r="E391" s="20" t="s">
        <v>26</v>
      </c>
      <c r="F391" s="20" t="s">
        <v>61</v>
      </c>
      <c r="G391" s="20">
        <v>19.0</v>
      </c>
      <c r="H391" s="20">
        <v>12.5</v>
      </c>
      <c r="I391" s="20">
        <v>237.5</v>
      </c>
    </row>
    <row r="392">
      <c r="A392" s="20">
        <v>2026.0</v>
      </c>
      <c r="B392" s="20">
        <v>2.0</v>
      </c>
      <c r="C392" s="52" t="s">
        <v>231</v>
      </c>
      <c r="D392" s="20" t="s">
        <v>38</v>
      </c>
      <c r="E392" s="20" t="s">
        <v>26</v>
      </c>
      <c r="F392" s="20" t="s">
        <v>61</v>
      </c>
      <c r="G392" s="20">
        <v>18.0</v>
      </c>
      <c r="H392" s="20">
        <v>12.5</v>
      </c>
      <c r="I392" s="20">
        <v>225.0</v>
      </c>
    </row>
    <row r="393">
      <c r="A393" s="20">
        <v>2026.0</v>
      </c>
      <c r="B393" s="20">
        <v>3.0</v>
      </c>
      <c r="C393" s="52" t="s">
        <v>231</v>
      </c>
      <c r="D393" s="20" t="s">
        <v>38</v>
      </c>
      <c r="E393" s="20" t="s">
        <v>26</v>
      </c>
      <c r="F393" s="20" t="s">
        <v>61</v>
      </c>
      <c r="G393" s="20">
        <v>7.0</v>
      </c>
      <c r="H393" s="20">
        <v>12.5</v>
      </c>
      <c r="I393" s="20">
        <v>87.5</v>
      </c>
    </row>
    <row r="394">
      <c r="A394" s="20">
        <v>2026.0</v>
      </c>
      <c r="B394" s="20">
        <v>3.0</v>
      </c>
      <c r="C394" s="52" t="s">
        <v>231</v>
      </c>
      <c r="D394" s="20" t="s">
        <v>38</v>
      </c>
      <c r="E394" s="20" t="s">
        <v>26</v>
      </c>
      <c r="F394" s="20" t="s">
        <v>61</v>
      </c>
      <c r="G394" s="20">
        <v>15.0</v>
      </c>
      <c r="H394" s="20">
        <v>12.5</v>
      </c>
      <c r="I394" s="20">
        <v>187.5</v>
      </c>
    </row>
    <row r="395">
      <c r="A395" s="20">
        <v>2026.0</v>
      </c>
      <c r="B395" s="20">
        <v>1.0</v>
      </c>
      <c r="C395" s="52" t="s">
        <v>232</v>
      </c>
      <c r="D395" s="20" t="s">
        <v>233</v>
      </c>
      <c r="E395" s="20" t="s">
        <v>15</v>
      </c>
      <c r="F395" s="20" t="s">
        <v>61</v>
      </c>
      <c r="G395" s="20">
        <v>18.0</v>
      </c>
      <c r="H395" s="20">
        <v>33.6</v>
      </c>
      <c r="I395" s="20">
        <v>604.8</v>
      </c>
    </row>
    <row r="396">
      <c r="A396" s="20">
        <v>2026.0</v>
      </c>
      <c r="B396" s="20">
        <v>2.0</v>
      </c>
      <c r="C396" s="52" t="s">
        <v>232</v>
      </c>
      <c r="D396" s="20" t="s">
        <v>233</v>
      </c>
      <c r="E396" s="20" t="s">
        <v>15</v>
      </c>
      <c r="F396" s="20" t="s">
        <v>61</v>
      </c>
      <c r="G396" s="20">
        <v>20.0</v>
      </c>
      <c r="H396" s="20">
        <v>33.6</v>
      </c>
      <c r="I396" s="20">
        <v>672.0</v>
      </c>
    </row>
    <row r="397">
      <c r="A397" s="20">
        <v>2026.0</v>
      </c>
      <c r="B397" s="20">
        <v>3.0</v>
      </c>
      <c r="C397" s="52" t="s">
        <v>232</v>
      </c>
      <c r="D397" s="20" t="s">
        <v>233</v>
      </c>
      <c r="E397" s="20" t="s">
        <v>15</v>
      </c>
      <c r="F397" s="20" t="s">
        <v>61</v>
      </c>
      <c r="G397" s="20">
        <v>20.0</v>
      </c>
      <c r="H397" s="20">
        <v>33.6</v>
      </c>
      <c r="I397" s="20">
        <v>672.0</v>
      </c>
    </row>
    <row r="398">
      <c r="A398" s="20">
        <v>2026.0</v>
      </c>
      <c r="B398" s="20">
        <v>1.0</v>
      </c>
      <c r="C398" s="52" t="s">
        <v>234</v>
      </c>
      <c r="D398" s="20" t="s">
        <v>40</v>
      </c>
      <c r="E398" s="20" t="s">
        <v>40</v>
      </c>
      <c r="F398" s="20" t="s">
        <v>61</v>
      </c>
      <c r="G398" s="20">
        <v>20.0</v>
      </c>
      <c r="H398" s="20">
        <v>10.0</v>
      </c>
      <c r="I398" s="20">
        <v>200.0</v>
      </c>
    </row>
    <row r="399">
      <c r="A399" s="20">
        <v>2026.0</v>
      </c>
      <c r="B399" s="20">
        <v>2.0</v>
      </c>
      <c r="C399" s="52" t="s">
        <v>234</v>
      </c>
      <c r="D399" s="20" t="s">
        <v>40</v>
      </c>
      <c r="E399" s="20" t="s">
        <v>40</v>
      </c>
      <c r="F399" s="20" t="s">
        <v>61</v>
      </c>
      <c r="G399" s="20">
        <v>21.0</v>
      </c>
      <c r="H399" s="20">
        <v>10.0</v>
      </c>
      <c r="I399" s="20">
        <v>210.0</v>
      </c>
    </row>
    <row r="400">
      <c r="A400" s="20">
        <v>2026.0</v>
      </c>
      <c r="B400" s="20">
        <v>3.0</v>
      </c>
      <c r="C400" s="52" t="s">
        <v>234</v>
      </c>
      <c r="D400" s="20" t="s">
        <v>40</v>
      </c>
      <c r="E400" s="20" t="s">
        <v>40</v>
      </c>
      <c r="F400" s="20" t="s">
        <v>61</v>
      </c>
      <c r="G400" s="20">
        <v>21.0</v>
      </c>
      <c r="H400" s="20">
        <v>10.0</v>
      </c>
      <c r="I400" s="20">
        <v>210.0</v>
      </c>
    </row>
    <row r="401">
      <c r="A401" s="20">
        <v>2026.0</v>
      </c>
      <c r="B401" s="20">
        <v>1.0</v>
      </c>
      <c r="C401" s="52" t="s">
        <v>235</v>
      </c>
      <c r="D401" s="20" t="s">
        <v>236</v>
      </c>
      <c r="E401" s="20" t="s">
        <v>17</v>
      </c>
      <c r="F401" s="20" t="s">
        <v>61</v>
      </c>
      <c r="G401" s="20">
        <v>18.5</v>
      </c>
      <c r="H401" s="20">
        <v>20.0</v>
      </c>
      <c r="I401" s="20">
        <v>370.0</v>
      </c>
    </row>
    <row r="402">
      <c r="A402" s="20">
        <v>2026.0</v>
      </c>
      <c r="B402" s="20">
        <v>2.0</v>
      </c>
      <c r="C402" s="52" t="s">
        <v>235</v>
      </c>
      <c r="D402" s="20" t="s">
        <v>236</v>
      </c>
      <c r="E402" s="20" t="s">
        <v>17</v>
      </c>
      <c r="F402" s="20" t="s">
        <v>61</v>
      </c>
      <c r="G402" s="20">
        <v>20.0</v>
      </c>
      <c r="H402" s="20">
        <v>20.0</v>
      </c>
      <c r="I402" s="20">
        <v>400.0</v>
      </c>
    </row>
    <row r="403">
      <c r="A403" s="20">
        <v>2026.0</v>
      </c>
      <c r="B403" s="20">
        <v>3.0</v>
      </c>
      <c r="C403" s="52" t="s">
        <v>235</v>
      </c>
      <c r="D403" s="20" t="s">
        <v>236</v>
      </c>
      <c r="E403" s="20" t="s">
        <v>17</v>
      </c>
      <c r="F403" s="20" t="s">
        <v>61</v>
      </c>
      <c r="G403" s="20">
        <v>22.0</v>
      </c>
      <c r="H403" s="20">
        <v>20.0</v>
      </c>
      <c r="I403" s="20">
        <v>440.0</v>
      </c>
    </row>
    <row r="404">
      <c r="A404" s="20">
        <v>2026.0</v>
      </c>
      <c r="B404" s="20">
        <v>1.0</v>
      </c>
      <c r="C404" s="52" t="s">
        <v>237</v>
      </c>
      <c r="D404" s="20" t="s">
        <v>41</v>
      </c>
      <c r="E404" s="20" t="s">
        <v>28</v>
      </c>
      <c r="F404" s="20" t="s">
        <v>61</v>
      </c>
      <c r="G404" s="20">
        <v>15.0</v>
      </c>
      <c r="H404" s="20">
        <v>0.8</v>
      </c>
      <c r="I404" s="20">
        <v>12.0</v>
      </c>
      <c r="K404" s="44">
        <v>59.5</v>
      </c>
    </row>
    <row r="405">
      <c r="A405" s="20">
        <v>2026.0</v>
      </c>
      <c r="B405" s="20">
        <v>2.0</v>
      </c>
      <c r="C405" s="52" t="s">
        <v>237</v>
      </c>
      <c r="D405" s="20" t="s">
        <v>41</v>
      </c>
      <c r="E405" s="20" t="s">
        <v>28</v>
      </c>
      <c r="F405" s="20" t="s">
        <v>61</v>
      </c>
      <c r="G405" s="20">
        <v>20.0</v>
      </c>
      <c r="H405" s="20">
        <v>0.8</v>
      </c>
      <c r="I405" s="20">
        <v>16.0</v>
      </c>
    </row>
    <row r="406">
      <c r="A406" s="20">
        <v>2026.0</v>
      </c>
      <c r="B406" s="20">
        <v>3.0</v>
      </c>
      <c r="C406" s="52" t="s">
        <v>238</v>
      </c>
      <c r="D406" s="20" t="s">
        <v>41</v>
      </c>
      <c r="E406" s="20" t="s">
        <v>15</v>
      </c>
      <c r="F406" s="20" t="s">
        <v>61</v>
      </c>
      <c r="G406" s="20">
        <v>9.0</v>
      </c>
      <c r="H406" s="20">
        <v>41.7</v>
      </c>
      <c r="I406" s="20">
        <v>375.3</v>
      </c>
    </row>
    <row r="407">
      <c r="A407" s="20">
        <v>2026.0</v>
      </c>
      <c r="B407" s="20">
        <v>3.0</v>
      </c>
      <c r="C407" s="52" t="s">
        <v>237</v>
      </c>
      <c r="D407" s="20" t="s">
        <v>41</v>
      </c>
      <c r="E407" s="20" t="s">
        <v>28</v>
      </c>
      <c r="F407" s="20" t="s">
        <v>61</v>
      </c>
      <c r="G407" s="20">
        <v>5.0</v>
      </c>
      <c r="H407" s="20">
        <v>0.8</v>
      </c>
      <c r="I407" s="20">
        <v>4.0</v>
      </c>
    </row>
    <row r="408">
      <c r="A408" s="20">
        <v>2026.0</v>
      </c>
      <c r="B408" s="20">
        <v>3.0</v>
      </c>
      <c r="C408" s="52" t="s">
        <v>238</v>
      </c>
      <c r="D408" s="20" t="s">
        <v>41</v>
      </c>
      <c r="E408" s="20" t="s">
        <v>28</v>
      </c>
      <c r="F408" s="20" t="s">
        <v>61</v>
      </c>
      <c r="G408" s="20">
        <v>9.0</v>
      </c>
      <c r="H408" s="20">
        <v>22.4</v>
      </c>
      <c r="I408" s="20">
        <v>201.6</v>
      </c>
    </row>
    <row r="409">
      <c r="A409" s="20">
        <v>2026.0</v>
      </c>
      <c r="B409" s="20">
        <v>3.0</v>
      </c>
      <c r="C409" s="52" t="s">
        <v>239</v>
      </c>
      <c r="D409" s="20" t="s">
        <v>240</v>
      </c>
      <c r="E409" s="20" t="s">
        <v>17</v>
      </c>
      <c r="F409" s="20" t="s">
        <v>61</v>
      </c>
      <c r="G409" s="20">
        <v>5.0</v>
      </c>
      <c r="H409" s="20">
        <v>40.5</v>
      </c>
      <c r="I409" s="20">
        <v>202.5</v>
      </c>
    </row>
    <row r="410">
      <c r="A410" s="20">
        <v>2026.0</v>
      </c>
      <c r="B410" s="20">
        <v>1.0</v>
      </c>
      <c r="C410" s="52" t="s">
        <v>220</v>
      </c>
      <c r="D410" s="20" t="s">
        <v>241</v>
      </c>
      <c r="E410" s="20" t="s">
        <v>31</v>
      </c>
      <c r="F410" s="20" t="s">
        <v>61</v>
      </c>
      <c r="G410" s="20">
        <v>10.0</v>
      </c>
      <c r="H410" s="20">
        <v>41.5</v>
      </c>
      <c r="I410" s="20">
        <v>415.0</v>
      </c>
    </row>
    <row r="411">
      <c r="A411" s="20">
        <v>2026.0</v>
      </c>
      <c r="B411" s="20">
        <v>2.0</v>
      </c>
      <c r="C411" s="52" t="s">
        <v>220</v>
      </c>
      <c r="D411" s="20" t="s">
        <v>241</v>
      </c>
      <c r="E411" s="20" t="s">
        <v>31</v>
      </c>
      <c r="F411" s="20" t="s">
        <v>61</v>
      </c>
      <c r="G411" s="20">
        <v>20.0</v>
      </c>
      <c r="H411" s="20">
        <v>41.5</v>
      </c>
      <c r="I411" s="20">
        <v>830.0</v>
      </c>
    </row>
    <row r="412">
      <c r="A412" s="20">
        <v>2026.0</v>
      </c>
      <c r="B412" s="20">
        <v>3.0</v>
      </c>
      <c r="C412" s="52" t="s">
        <v>220</v>
      </c>
      <c r="D412" s="20" t="s">
        <v>241</v>
      </c>
      <c r="E412" s="20" t="s">
        <v>31</v>
      </c>
      <c r="F412" s="20" t="s">
        <v>61</v>
      </c>
      <c r="G412" s="20">
        <v>22.0</v>
      </c>
      <c r="H412" s="20">
        <v>41.5</v>
      </c>
      <c r="I412" s="20">
        <v>913.0</v>
      </c>
    </row>
    <row r="413">
      <c r="A413" s="20">
        <v>2026.0</v>
      </c>
      <c r="B413" s="20">
        <v>1.0</v>
      </c>
      <c r="C413" s="52" t="s">
        <v>242</v>
      </c>
      <c r="D413" s="20" t="s">
        <v>243</v>
      </c>
      <c r="E413" s="20" t="s">
        <v>17</v>
      </c>
      <c r="F413" s="20" t="s">
        <v>61</v>
      </c>
      <c r="G413" s="20">
        <v>21.0</v>
      </c>
      <c r="H413" s="20">
        <v>10.0</v>
      </c>
      <c r="I413" s="20">
        <v>210.0</v>
      </c>
    </row>
    <row r="414">
      <c r="A414" s="20">
        <v>2026.0</v>
      </c>
      <c r="B414" s="20">
        <v>2.0</v>
      </c>
      <c r="C414" s="52" t="s">
        <v>242</v>
      </c>
      <c r="D414" s="20" t="s">
        <v>243</v>
      </c>
      <c r="E414" s="20" t="s">
        <v>17</v>
      </c>
      <c r="F414" s="20" t="s">
        <v>61</v>
      </c>
      <c r="G414" s="20">
        <v>20.0</v>
      </c>
      <c r="H414" s="20">
        <v>10.0</v>
      </c>
      <c r="I414" s="20">
        <v>200.0</v>
      </c>
    </row>
    <row r="415">
      <c r="A415" s="20">
        <v>2026.0</v>
      </c>
      <c r="B415" s="20">
        <v>3.0</v>
      </c>
      <c r="C415" s="52" t="s">
        <v>242</v>
      </c>
      <c r="D415" s="20" t="s">
        <v>243</v>
      </c>
      <c r="E415" s="20" t="s">
        <v>17</v>
      </c>
      <c r="F415" s="20" t="s">
        <v>61</v>
      </c>
      <c r="G415" s="20">
        <v>21.5</v>
      </c>
      <c r="H415" s="20">
        <v>10.0</v>
      </c>
      <c r="I415" s="20">
        <v>215.0</v>
      </c>
    </row>
    <row r="416">
      <c r="A416" s="20">
        <v>2026.0</v>
      </c>
      <c r="B416" s="20">
        <v>1.0</v>
      </c>
      <c r="C416" s="52" t="s">
        <v>244</v>
      </c>
      <c r="D416" s="20" t="s">
        <v>245</v>
      </c>
      <c r="E416" s="20" t="s">
        <v>35</v>
      </c>
      <c r="F416" s="20" t="s">
        <v>61</v>
      </c>
      <c r="G416" s="20">
        <v>13.0</v>
      </c>
      <c r="H416" s="20">
        <v>42.9</v>
      </c>
      <c r="I416" s="20">
        <v>557.7</v>
      </c>
    </row>
    <row r="417">
      <c r="A417" s="20">
        <v>2026.0</v>
      </c>
      <c r="B417" s="20">
        <v>1.0</v>
      </c>
      <c r="C417" s="52" t="s">
        <v>246</v>
      </c>
      <c r="D417" s="20" t="s">
        <v>247</v>
      </c>
      <c r="E417" s="20" t="s">
        <v>15</v>
      </c>
      <c r="F417" s="20" t="s">
        <v>61</v>
      </c>
      <c r="G417" s="20">
        <v>21.0</v>
      </c>
      <c r="H417" s="20">
        <v>31.5</v>
      </c>
      <c r="I417" s="20">
        <v>661.5</v>
      </c>
    </row>
    <row r="418">
      <c r="A418" s="20">
        <v>2026.0</v>
      </c>
      <c r="B418" s="20">
        <v>2.0</v>
      </c>
      <c r="C418" s="52" t="s">
        <v>246</v>
      </c>
      <c r="D418" s="20" t="s">
        <v>247</v>
      </c>
      <c r="E418" s="20" t="s">
        <v>15</v>
      </c>
      <c r="F418" s="20" t="s">
        <v>61</v>
      </c>
      <c r="G418" s="20">
        <v>3.0</v>
      </c>
      <c r="H418" s="20">
        <v>31.5</v>
      </c>
      <c r="I418" s="20">
        <v>94.5</v>
      </c>
    </row>
    <row r="419">
      <c r="A419" s="20">
        <v>2026.0</v>
      </c>
      <c r="B419" s="20">
        <v>2.0</v>
      </c>
      <c r="C419" s="52" t="s">
        <v>246</v>
      </c>
      <c r="D419" s="20" t="s">
        <v>247</v>
      </c>
      <c r="E419" s="20" t="s">
        <v>15</v>
      </c>
      <c r="F419" s="20" t="s">
        <v>61</v>
      </c>
      <c r="G419" s="20">
        <v>12.0</v>
      </c>
      <c r="H419" s="20">
        <v>31.5</v>
      </c>
      <c r="I419" s="20">
        <v>378.0</v>
      </c>
    </row>
    <row r="420">
      <c r="A420" s="20">
        <v>2026.0</v>
      </c>
      <c r="B420" s="20">
        <v>3.0</v>
      </c>
      <c r="C420" s="52" t="s">
        <v>246</v>
      </c>
      <c r="D420" s="20" t="s">
        <v>247</v>
      </c>
      <c r="E420" s="20" t="s">
        <v>15</v>
      </c>
      <c r="F420" s="20" t="s">
        <v>61</v>
      </c>
      <c r="G420" s="20">
        <v>17.0</v>
      </c>
      <c r="H420" s="20">
        <v>31.5</v>
      </c>
      <c r="I420" s="20">
        <v>535.5</v>
      </c>
    </row>
    <row r="421">
      <c r="A421" s="20">
        <v>2026.0</v>
      </c>
      <c r="B421" s="20">
        <v>1.0</v>
      </c>
      <c r="C421" s="52" t="s">
        <v>165</v>
      </c>
      <c r="D421" s="20" t="s">
        <v>248</v>
      </c>
      <c r="E421" s="20" t="s">
        <v>23</v>
      </c>
      <c r="F421" s="20" t="s">
        <v>61</v>
      </c>
      <c r="G421" s="20">
        <v>19.5</v>
      </c>
      <c r="H421" s="20">
        <v>22.5</v>
      </c>
      <c r="I421" s="20">
        <v>438.75</v>
      </c>
    </row>
    <row r="422">
      <c r="A422" s="20">
        <v>2026.0</v>
      </c>
      <c r="B422" s="20">
        <v>2.0</v>
      </c>
      <c r="C422" s="52" t="s">
        <v>165</v>
      </c>
      <c r="D422" s="20" t="s">
        <v>248</v>
      </c>
      <c r="E422" s="20" t="s">
        <v>23</v>
      </c>
      <c r="F422" s="20" t="s">
        <v>61</v>
      </c>
      <c r="G422" s="20">
        <v>1.0</v>
      </c>
      <c r="H422" s="20">
        <v>22.5</v>
      </c>
      <c r="I422" s="20">
        <v>22.5</v>
      </c>
    </row>
    <row r="423">
      <c r="A423" s="20">
        <v>2026.0</v>
      </c>
      <c r="B423" s="20">
        <v>1.0</v>
      </c>
      <c r="C423" s="52" t="s">
        <v>249</v>
      </c>
      <c r="D423" s="20" t="s">
        <v>42</v>
      </c>
      <c r="E423" s="20" t="s">
        <v>28</v>
      </c>
      <c r="F423" s="20" t="s">
        <v>61</v>
      </c>
      <c r="G423" s="20">
        <v>21.0</v>
      </c>
      <c r="H423" s="20">
        <v>42.4</v>
      </c>
      <c r="I423" s="20">
        <v>890.4</v>
      </c>
    </row>
    <row r="424">
      <c r="A424" s="20">
        <v>2026.0</v>
      </c>
      <c r="B424" s="20">
        <v>2.0</v>
      </c>
      <c r="C424" s="52" t="s">
        <v>249</v>
      </c>
      <c r="D424" s="20" t="s">
        <v>42</v>
      </c>
      <c r="E424" s="20" t="s">
        <v>28</v>
      </c>
      <c r="F424" s="20" t="s">
        <v>61</v>
      </c>
      <c r="G424" s="20">
        <v>14.0</v>
      </c>
      <c r="H424" s="20">
        <v>42.4</v>
      </c>
      <c r="I424" s="20">
        <v>593.6</v>
      </c>
    </row>
    <row r="425">
      <c r="A425" s="20">
        <v>2026.0</v>
      </c>
      <c r="B425" s="20">
        <v>3.0</v>
      </c>
      <c r="C425" s="52" t="s">
        <v>249</v>
      </c>
      <c r="D425" s="20" t="s">
        <v>42</v>
      </c>
      <c r="E425" s="20" t="s">
        <v>28</v>
      </c>
      <c r="F425" s="20" t="s">
        <v>61</v>
      </c>
      <c r="G425" s="20">
        <v>21.5</v>
      </c>
      <c r="H425" s="20">
        <v>42.4</v>
      </c>
      <c r="I425" s="20">
        <v>911.6</v>
      </c>
    </row>
    <row r="426">
      <c r="A426" s="20">
        <v>2026.0</v>
      </c>
      <c r="B426" s="20">
        <v>1.0</v>
      </c>
      <c r="C426" s="52" t="s">
        <v>250</v>
      </c>
      <c r="D426" s="20" t="s">
        <v>43</v>
      </c>
      <c r="E426" s="20" t="s">
        <v>15</v>
      </c>
      <c r="F426" s="20" t="s">
        <v>61</v>
      </c>
      <c r="G426" s="20">
        <v>9.0</v>
      </c>
      <c r="H426" s="20">
        <v>24.0</v>
      </c>
      <c r="I426" s="20">
        <v>216.0</v>
      </c>
    </row>
    <row r="427">
      <c r="A427" s="20">
        <v>2026.0</v>
      </c>
      <c r="B427" s="20">
        <v>1.0</v>
      </c>
      <c r="C427" s="52" t="s">
        <v>250</v>
      </c>
      <c r="D427" s="20" t="s">
        <v>43</v>
      </c>
      <c r="E427" s="20" t="s">
        <v>15</v>
      </c>
      <c r="F427" s="20" t="s">
        <v>61</v>
      </c>
      <c r="G427" s="20">
        <v>12.0</v>
      </c>
      <c r="H427" s="20">
        <v>24.0</v>
      </c>
      <c r="I427" s="20">
        <v>288.0</v>
      </c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</row>
    <row r="428">
      <c r="A428" s="20">
        <v>2026.0</v>
      </c>
      <c r="B428" s="20">
        <v>2.0</v>
      </c>
      <c r="C428" s="52" t="s">
        <v>250</v>
      </c>
      <c r="D428" s="20" t="s">
        <v>43</v>
      </c>
      <c r="E428" s="20" t="s">
        <v>15</v>
      </c>
      <c r="F428" s="20" t="s">
        <v>61</v>
      </c>
      <c r="G428" s="20">
        <v>19.5</v>
      </c>
      <c r="H428" s="20">
        <v>24.0</v>
      </c>
      <c r="I428" s="20">
        <v>468.0</v>
      </c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</row>
    <row r="429">
      <c r="A429" s="20">
        <v>2026.0</v>
      </c>
      <c r="B429" s="20">
        <v>3.0</v>
      </c>
      <c r="C429" s="52" t="s">
        <v>250</v>
      </c>
      <c r="D429" s="20" t="s">
        <v>43</v>
      </c>
      <c r="E429" s="20" t="s">
        <v>15</v>
      </c>
      <c r="F429" s="20" t="s">
        <v>61</v>
      </c>
      <c r="G429" s="20">
        <v>12.0</v>
      </c>
      <c r="H429" s="20">
        <v>24.0</v>
      </c>
      <c r="I429" s="20">
        <v>288.0</v>
      </c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</row>
    <row r="430">
      <c r="A430" s="20">
        <v>2026.0</v>
      </c>
      <c r="B430" s="20">
        <v>1.0</v>
      </c>
      <c r="C430" s="52" t="s">
        <v>252</v>
      </c>
      <c r="D430" s="20" t="s">
        <v>44</v>
      </c>
      <c r="E430" s="20" t="s">
        <v>15</v>
      </c>
      <c r="F430" s="20" t="s">
        <v>113</v>
      </c>
      <c r="G430" s="20">
        <v>21.0</v>
      </c>
      <c r="H430" s="20">
        <v>20.0</v>
      </c>
      <c r="I430" s="20">
        <v>420.0</v>
      </c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</row>
    <row r="431">
      <c r="A431" s="20">
        <v>2026.0</v>
      </c>
      <c r="B431" s="20">
        <v>2.0</v>
      </c>
      <c r="C431" s="52" t="s">
        <v>252</v>
      </c>
      <c r="D431" s="20" t="s">
        <v>44</v>
      </c>
      <c r="E431" s="20" t="s">
        <v>15</v>
      </c>
      <c r="F431" s="20" t="s">
        <v>113</v>
      </c>
      <c r="G431" s="20">
        <v>19.5</v>
      </c>
      <c r="H431" s="20">
        <v>20.0</v>
      </c>
      <c r="I431" s="20">
        <v>390.0</v>
      </c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</row>
    <row r="432">
      <c r="A432" s="20">
        <v>2026.0</v>
      </c>
      <c r="B432" s="20">
        <v>3.0</v>
      </c>
      <c r="C432" s="52" t="s">
        <v>252</v>
      </c>
      <c r="D432" s="20" t="s">
        <v>44</v>
      </c>
      <c r="E432" s="20" t="s">
        <v>15</v>
      </c>
      <c r="F432" s="20" t="s">
        <v>113</v>
      </c>
      <c r="G432" s="20">
        <v>17.0</v>
      </c>
      <c r="H432" s="20">
        <v>20.0</v>
      </c>
      <c r="I432" s="20">
        <v>340.0</v>
      </c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</row>
    <row r="433">
      <c r="A433" s="20">
        <v>2026.0</v>
      </c>
      <c r="B433" s="20">
        <v>1.0</v>
      </c>
      <c r="C433" s="52" t="s">
        <v>253</v>
      </c>
      <c r="D433" s="20" t="s">
        <v>254</v>
      </c>
      <c r="E433" s="20" t="s">
        <v>15</v>
      </c>
      <c r="F433" s="20" t="s">
        <v>61</v>
      </c>
      <c r="G433" s="20">
        <v>20.0</v>
      </c>
      <c r="H433" s="20">
        <v>99.0</v>
      </c>
      <c r="I433" s="20">
        <v>1980.0</v>
      </c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</row>
    <row r="434">
      <c r="A434" s="20">
        <v>2026.0</v>
      </c>
      <c r="B434" s="20">
        <v>2.0</v>
      </c>
      <c r="C434" s="52" t="s">
        <v>253</v>
      </c>
      <c r="D434" s="20" t="s">
        <v>254</v>
      </c>
      <c r="E434" s="20" t="s">
        <v>15</v>
      </c>
      <c r="F434" s="20" t="s">
        <v>61</v>
      </c>
      <c r="G434" s="20">
        <v>20.0</v>
      </c>
      <c r="H434" s="20">
        <v>99.0</v>
      </c>
      <c r="I434" s="20">
        <v>1980.0</v>
      </c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</row>
    <row r="435">
      <c r="A435" s="20">
        <v>2026.0</v>
      </c>
      <c r="B435" s="20">
        <v>3.0</v>
      </c>
      <c r="C435" s="52" t="s">
        <v>253</v>
      </c>
      <c r="D435" s="20" t="s">
        <v>254</v>
      </c>
      <c r="E435" s="20" t="s">
        <v>15</v>
      </c>
      <c r="F435" s="20" t="s">
        <v>61</v>
      </c>
      <c r="G435" s="20">
        <v>22.0</v>
      </c>
      <c r="H435" s="20">
        <v>99.0</v>
      </c>
      <c r="I435" s="20">
        <v>2178.0</v>
      </c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</row>
    <row r="436">
      <c r="A436" s="20">
        <v>2026.0</v>
      </c>
      <c r="B436" s="20">
        <v>1.0</v>
      </c>
      <c r="C436" s="52" t="s">
        <v>206</v>
      </c>
      <c r="D436" s="20" t="s">
        <v>255</v>
      </c>
      <c r="E436" s="20" t="s">
        <v>28</v>
      </c>
      <c r="F436" s="20" t="s">
        <v>113</v>
      </c>
      <c r="G436" s="20">
        <v>21.0</v>
      </c>
      <c r="H436" s="20">
        <v>32.4</v>
      </c>
      <c r="I436" s="20">
        <v>680.4</v>
      </c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</row>
    <row r="437">
      <c r="A437" s="20">
        <v>2026.0</v>
      </c>
      <c r="B437" s="20">
        <v>1.0</v>
      </c>
      <c r="C437" s="52" t="s">
        <v>206</v>
      </c>
      <c r="D437" s="20" t="s">
        <v>255</v>
      </c>
      <c r="E437" s="20" t="s">
        <v>42</v>
      </c>
      <c r="F437" s="20" t="s">
        <v>113</v>
      </c>
      <c r="G437" s="20">
        <v>21.0</v>
      </c>
      <c r="H437" s="20">
        <v>10.8</v>
      </c>
      <c r="I437" s="20">
        <v>226.8</v>
      </c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</row>
    <row r="438">
      <c r="A438" s="20">
        <v>2026.0</v>
      </c>
      <c r="B438" s="20">
        <v>2.0</v>
      </c>
      <c r="C438" s="52" t="s">
        <v>206</v>
      </c>
      <c r="D438" s="20" t="s">
        <v>255</v>
      </c>
      <c r="E438" s="20" t="s">
        <v>28</v>
      </c>
      <c r="F438" s="20" t="s">
        <v>113</v>
      </c>
      <c r="G438" s="20">
        <v>9.5</v>
      </c>
      <c r="H438" s="20">
        <v>32.4</v>
      </c>
      <c r="I438" s="20">
        <v>307.8</v>
      </c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</row>
    <row r="439">
      <c r="A439" s="20">
        <v>2026.0</v>
      </c>
      <c r="B439" s="20">
        <v>2.0</v>
      </c>
      <c r="C439" s="52" t="s">
        <v>206</v>
      </c>
      <c r="D439" s="20" t="s">
        <v>255</v>
      </c>
      <c r="E439" s="20" t="s">
        <v>42</v>
      </c>
      <c r="F439" s="20" t="s">
        <v>113</v>
      </c>
      <c r="G439" s="20">
        <v>9.5</v>
      </c>
      <c r="H439" s="20">
        <v>10.8</v>
      </c>
      <c r="I439" s="20">
        <v>102.6</v>
      </c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</row>
    <row r="440">
      <c r="A440" s="20">
        <v>2026.0</v>
      </c>
      <c r="B440" s="20">
        <v>3.0</v>
      </c>
      <c r="C440" s="52" t="s">
        <v>206</v>
      </c>
      <c r="D440" s="20" t="s">
        <v>255</v>
      </c>
      <c r="E440" s="20" t="s">
        <v>28</v>
      </c>
      <c r="F440" s="20" t="s">
        <v>113</v>
      </c>
      <c r="G440" s="20">
        <v>21.0</v>
      </c>
      <c r="H440" s="20">
        <v>32.4</v>
      </c>
      <c r="I440" s="20">
        <v>680.4</v>
      </c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</row>
    <row r="441">
      <c r="A441" s="20">
        <v>2026.0</v>
      </c>
      <c r="B441" s="20">
        <v>3.0</v>
      </c>
      <c r="C441" s="52" t="s">
        <v>206</v>
      </c>
      <c r="D441" s="20" t="s">
        <v>255</v>
      </c>
      <c r="E441" s="20" t="s">
        <v>42</v>
      </c>
      <c r="F441" s="20" t="s">
        <v>113</v>
      </c>
      <c r="G441" s="20">
        <v>21.0</v>
      </c>
      <c r="H441" s="20">
        <v>10.8</v>
      </c>
      <c r="I441" s="20">
        <v>226.8</v>
      </c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</row>
    <row r="442">
      <c r="A442" s="20">
        <v>2026.0</v>
      </c>
      <c r="B442" s="20">
        <v>1.0</v>
      </c>
      <c r="C442" s="52" t="s">
        <v>256</v>
      </c>
      <c r="D442" s="20" t="s">
        <v>257</v>
      </c>
      <c r="E442" s="20" t="s">
        <v>23</v>
      </c>
      <c r="F442" s="20" t="s">
        <v>61</v>
      </c>
      <c r="G442" s="20">
        <v>3.5</v>
      </c>
      <c r="H442" s="20">
        <v>41.7</v>
      </c>
      <c r="I442" s="20">
        <v>145.95</v>
      </c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</row>
    <row r="443">
      <c r="A443" s="20">
        <v>2026.0</v>
      </c>
      <c r="B443" s="20">
        <v>1.0</v>
      </c>
      <c r="C443" s="52" t="s">
        <v>256</v>
      </c>
      <c r="D443" s="20" t="s">
        <v>257</v>
      </c>
      <c r="E443" s="20" t="s">
        <v>23</v>
      </c>
      <c r="F443" s="20" t="s">
        <v>61</v>
      </c>
      <c r="G443" s="20">
        <v>17.5</v>
      </c>
      <c r="H443" s="20">
        <v>41.7</v>
      </c>
      <c r="I443" s="20">
        <v>729.75</v>
      </c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</row>
    <row r="444">
      <c r="A444" s="20">
        <v>2026.0</v>
      </c>
      <c r="B444" s="20">
        <v>2.0</v>
      </c>
      <c r="C444" s="52" t="s">
        <v>256</v>
      </c>
      <c r="D444" s="20" t="s">
        <v>257</v>
      </c>
      <c r="E444" s="20" t="s">
        <v>23</v>
      </c>
      <c r="F444" s="20" t="s">
        <v>61</v>
      </c>
      <c r="G444" s="20">
        <v>20.0</v>
      </c>
      <c r="H444" s="20">
        <v>41.7</v>
      </c>
      <c r="I444" s="20">
        <v>834.0</v>
      </c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</row>
    <row r="445">
      <c r="A445" s="20">
        <v>2026.0</v>
      </c>
      <c r="B445" s="20">
        <v>3.0</v>
      </c>
      <c r="C445" s="52" t="s">
        <v>256</v>
      </c>
      <c r="D445" s="20" t="s">
        <v>257</v>
      </c>
      <c r="E445" s="20" t="s">
        <v>23</v>
      </c>
      <c r="F445" s="20" t="s">
        <v>61</v>
      </c>
      <c r="G445" s="20">
        <v>22.0</v>
      </c>
      <c r="H445" s="20">
        <v>41.7</v>
      </c>
      <c r="I445" s="20">
        <v>917.4</v>
      </c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</row>
    <row r="446">
      <c r="A446" s="20">
        <v>2026.0</v>
      </c>
      <c r="B446" s="20">
        <v>1.0</v>
      </c>
      <c r="C446" s="52" t="s">
        <v>258</v>
      </c>
      <c r="D446" s="20" t="s">
        <v>259</v>
      </c>
      <c r="E446" s="20" t="s">
        <v>31</v>
      </c>
      <c r="F446" s="20" t="s">
        <v>113</v>
      </c>
      <c r="G446" s="20">
        <v>19.0</v>
      </c>
      <c r="H446" s="20">
        <v>91.8</v>
      </c>
      <c r="I446" s="20">
        <v>1744.2</v>
      </c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</row>
    <row r="447">
      <c r="A447" s="20">
        <v>2026.0</v>
      </c>
      <c r="B447" s="20">
        <v>2.0</v>
      </c>
      <c r="C447" s="52" t="s">
        <v>258</v>
      </c>
      <c r="D447" s="20" t="s">
        <v>259</v>
      </c>
      <c r="E447" s="20" t="s">
        <v>31</v>
      </c>
      <c r="F447" s="20" t="s">
        <v>113</v>
      </c>
      <c r="G447" s="20">
        <v>20.0</v>
      </c>
      <c r="H447" s="20">
        <v>91.8</v>
      </c>
      <c r="I447" s="20">
        <v>1836.0</v>
      </c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</row>
    <row r="448">
      <c r="A448" s="20">
        <v>2026.0</v>
      </c>
      <c r="B448" s="20">
        <v>3.0</v>
      </c>
      <c r="C448" s="52" t="s">
        <v>258</v>
      </c>
      <c r="D448" s="20" t="s">
        <v>259</v>
      </c>
      <c r="E448" s="20" t="s">
        <v>31</v>
      </c>
      <c r="F448" s="20" t="s">
        <v>113</v>
      </c>
      <c r="G448" s="20">
        <v>22.0</v>
      </c>
      <c r="H448" s="20">
        <v>91.8</v>
      </c>
      <c r="I448" s="20">
        <v>2019.6</v>
      </c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</row>
    <row r="449">
      <c r="A449" s="20">
        <v>2026.0</v>
      </c>
      <c r="B449" s="20">
        <v>1.0</v>
      </c>
      <c r="C449" s="52" t="s">
        <v>260</v>
      </c>
      <c r="D449" s="20" t="s">
        <v>261</v>
      </c>
      <c r="E449" s="20" t="s">
        <v>28</v>
      </c>
      <c r="F449" s="20" t="s">
        <v>61</v>
      </c>
      <c r="G449" s="20">
        <v>13.0</v>
      </c>
      <c r="H449" s="20">
        <v>4.0</v>
      </c>
      <c r="I449" s="20">
        <v>52.0</v>
      </c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</row>
    <row r="450">
      <c r="A450" s="20">
        <v>2026.0</v>
      </c>
      <c r="B450" s="20">
        <v>2.0</v>
      </c>
      <c r="C450" s="52" t="s">
        <v>260</v>
      </c>
      <c r="D450" s="20" t="s">
        <v>261</v>
      </c>
      <c r="E450" s="20" t="s">
        <v>28</v>
      </c>
      <c r="F450" s="20" t="s">
        <v>61</v>
      </c>
      <c r="G450" s="20">
        <v>8.0</v>
      </c>
      <c r="H450" s="20">
        <v>4.0</v>
      </c>
      <c r="I450" s="20">
        <v>32.0</v>
      </c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</row>
    <row r="451">
      <c r="A451" s="20">
        <v>2026.0</v>
      </c>
      <c r="B451" s="20">
        <v>3.0</v>
      </c>
      <c r="C451" s="52" t="s">
        <v>260</v>
      </c>
      <c r="D451" s="20" t="s">
        <v>261</v>
      </c>
      <c r="E451" s="20" t="s">
        <v>28</v>
      </c>
      <c r="F451" s="20" t="s">
        <v>61</v>
      </c>
      <c r="G451" s="20">
        <v>22.0</v>
      </c>
      <c r="H451" s="20">
        <v>4.0</v>
      </c>
      <c r="I451" s="20">
        <v>88.0</v>
      </c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</row>
    <row r="452">
      <c r="A452" s="20">
        <v>2026.0</v>
      </c>
      <c r="B452" s="20">
        <v>2.0</v>
      </c>
      <c r="C452" s="52" t="s">
        <v>262</v>
      </c>
      <c r="D452" s="20" t="s">
        <v>263</v>
      </c>
      <c r="E452" s="20" t="s">
        <v>15</v>
      </c>
      <c r="F452" s="20" t="s">
        <v>61</v>
      </c>
      <c r="G452" s="20">
        <v>10.0</v>
      </c>
      <c r="H452" s="20">
        <v>38.2</v>
      </c>
      <c r="I452" s="20">
        <v>382.0</v>
      </c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</row>
    <row r="453">
      <c r="A453" s="20">
        <v>2026.0</v>
      </c>
      <c r="B453" s="20">
        <v>2.0</v>
      </c>
      <c r="C453" s="52" t="s">
        <v>262</v>
      </c>
      <c r="D453" s="20" t="s">
        <v>263</v>
      </c>
      <c r="E453" s="20" t="s">
        <v>35</v>
      </c>
      <c r="F453" s="20" t="s">
        <v>61</v>
      </c>
      <c r="G453" s="20">
        <v>10.0</v>
      </c>
      <c r="H453" s="20">
        <v>8.8</v>
      </c>
      <c r="I453" s="20">
        <v>88.0</v>
      </c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</row>
    <row r="454">
      <c r="A454" s="20">
        <v>2026.0</v>
      </c>
      <c r="B454" s="20">
        <v>3.0</v>
      </c>
      <c r="C454" s="52" t="s">
        <v>262</v>
      </c>
      <c r="D454" s="20" t="s">
        <v>263</v>
      </c>
      <c r="E454" s="20" t="s">
        <v>15</v>
      </c>
      <c r="F454" s="20" t="s">
        <v>61</v>
      </c>
      <c r="G454" s="20">
        <v>22.0</v>
      </c>
      <c r="H454" s="20">
        <v>38.2</v>
      </c>
      <c r="I454" s="20">
        <v>840.4</v>
      </c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</row>
    <row r="455">
      <c r="A455" s="20">
        <v>2026.0</v>
      </c>
      <c r="B455" s="20">
        <v>3.0</v>
      </c>
      <c r="C455" s="52" t="s">
        <v>262</v>
      </c>
      <c r="D455" s="20" t="s">
        <v>263</v>
      </c>
      <c r="E455" s="20" t="s">
        <v>35</v>
      </c>
      <c r="F455" s="20" t="s">
        <v>61</v>
      </c>
      <c r="G455" s="20">
        <v>22.0</v>
      </c>
      <c r="H455" s="20">
        <v>8.8</v>
      </c>
      <c r="I455" s="20">
        <v>193.6</v>
      </c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</row>
    <row r="456">
      <c r="A456" s="20">
        <v>2026.0</v>
      </c>
      <c r="B456" s="20">
        <v>1.0</v>
      </c>
      <c r="C456" s="52" t="s">
        <v>264</v>
      </c>
      <c r="D456" s="20" t="s">
        <v>45</v>
      </c>
      <c r="E456" s="20" t="s">
        <v>45</v>
      </c>
      <c r="F456" s="20" t="s">
        <v>61</v>
      </c>
      <c r="G456" s="20">
        <v>6.0</v>
      </c>
      <c r="H456" s="20">
        <v>12.0</v>
      </c>
      <c r="I456" s="20">
        <v>72.0</v>
      </c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</row>
    <row r="457">
      <c r="A457" s="20">
        <v>2026.0</v>
      </c>
      <c r="B457" s="20">
        <v>1.0</v>
      </c>
      <c r="C457" s="52" t="s">
        <v>264</v>
      </c>
      <c r="D457" s="20" t="s">
        <v>45</v>
      </c>
      <c r="E457" s="20" t="s">
        <v>45</v>
      </c>
      <c r="F457" s="20" t="s">
        <v>61</v>
      </c>
      <c r="G457" s="20">
        <v>14.0</v>
      </c>
      <c r="H457" s="20">
        <v>12.0</v>
      </c>
      <c r="I457" s="20">
        <v>168.0</v>
      </c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</row>
    <row r="458">
      <c r="A458" s="20">
        <v>2026.0</v>
      </c>
      <c r="B458" s="20">
        <v>2.0</v>
      </c>
      <c r="C458" s="52" t="s">
        <v>264</v>
      </c>
      <c r="D458" s="20" t="s">
        <v>45</v>
      </c>
      <c r="E458" s="20" t="s">
        <v>45</v>
      </c>
      <c r="F458" s="20" t="s">
        <v>61</v>
      </c>
      <c r="G458" s="20">
        <v>20.0</v>
      </c>
      <c r="H458" s="20">
        <v>12.0</v>
      </c>
      <c r="I458" s="20">
        <v>240.0</v>
      </c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</row>
    <row r="459">
      <c r="A459" s="20">
        <v>2026.0</v>
      </c>
      <c r="B459" s="20">
        <v>3.0</v>
      </c>
      <c r="C459" s="52" t="s">
        <v>264</v>
      </c>
      <c r="D459" s="20" t="s">
        <v>45</v>
      </c>
      <c r="E459" s="20" t="s">
        <v>45</v>
      </c>
      <c r="F459" s="20" t="s">
        <v>61</v>
      </c>
      <c r="G459" s="20">
        <v>19.0</v>
      </c>
      <c r="H459" s="20">
        <v>12.0</v>
      </c>
      <c r="I459" s="20">
        <v>228.0</v>
      </c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</row>
    <row r="460">
      <c r="A460" s="20">
        <v>2026.0</v>
      </c>
      <c r="B460" s="20">
        <v>1.0</v>
      </c>
      <c r="C460" s="52" t="s">
        <v>265</v>
      </c>
      <c r="D460" s="20" t="s">
        <v>46</v>
      </c>
      <c r="E460" s="20" t="s">
        <v>15</v>
      </c>
      <c r="F460" s="20" t="s">
        <v>61</v>
      </c>
      <c r="G460" s="20">
        <v>20.0</v>
      </c>
      <c r="H460" s="20">
        <v>13.0</v>
      </c>
      <c r="I460" s="20">
        <v>260.0</v>
      </c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</row>
    <row r="461">
      <c r="A461" s="20">
        <v>2026.0</v>
      </c>
      <c r="B461" s="20">
        <v>1.0</v>
      </c>
      <c r="C461" s="52" t="s">
        <v>265</v>
      </c>
      <c r="D461" s="20" t="s">
        <v>46</v>
      </c>
      <c r="E461" s="20" t="s">
        <v>28</v>
      </c>
      <c r="F461" s="20" t="s">
        <v>61</v>
      </c>
      <c r="G461" s="20">
        <v>20.0</v>
      </c>
      <c r="H461" s="20">
        <v>8.1</v>
      </c>
      <c r="I461" s="20">
        <v>162.0</v>
      </c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</row>
    <row r="462">
      <c r="A462" s="20">
        <v>2026.0</v>
      </c>
      <c r="B462" s="20">
        <v>2.0</v>
      </c>
      <c r="C462" s="52" t="s">
        <v>265</v>
      </c>
      <c r="D462" s="20" t="s">
        <v>46</v>
      </c>
      <c r="E462" s="20" t="s">
        <v>28</v>
      </c>
      <c r="F462" s="20" t="s">
        <v>61</v>
      </c>
      <c r="G462" s="20">
        <v>18.0</v>
      </c>
      <c r="H462" s="20">
        <v>8.1</v>
      </c>
      <c r="I462" s="20">
        <v>145.8</v>
      </c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</row>
    <row r="463">
      <c r="A463" s="20">
        <v>2026.0</v>
      </c>
      <c r="B463" s="20">
        <v>2.0</v>
      </c>
      <c r="C463" s="52" t="s">
        <v>265</v>
      </c>
      <c r="D463" s="20" t="s">
        <v>46</v>
      </c>
      <c r="E463" s="20" t="s">
        <v>46</v>
      </c>
      <c r="F463" s="20" t="s">
        <v>61</v>
      </c>
      <c r="G463" s="20">
        <v>18.0</v>
      </c>
      <c r="H463" s="20">
        <v>13.0</v>
      </c>
      <c r="I463" s="20">
        <v>234.0</v>
      </c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</row>
    <row r="464">
      <c r="A464" s="20">
        <v>2026.0</v>
      </c>
      <c r="B464" s="20">
        <v>3.0</v>
      </c>
      <c r="C464" s="52" t="s">
        <v>265</v>
      </c>
      <c r="D464" s="20" t="s">
        <v>46</v>
      </c>
      <c r="E464" s="20" t="s">
        <v>28</v>
      </c>
      <c r="F464" s="20" t="s">
        <v>61</v>
      </c>
      <c r="G464" s="20">
        <v>21.0</v>
      </c>
      <c r="H464" s="20">
        <v>8.1</v>
      </c>
      <c r="I464" s="20">
        <v>170.1</v>
      </c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</row>
    <row r="465">
      <c r="A465" s="20">
        <v>2026.0</v>
      </c>
      <c r="B465" s="20">
        <v>3.0</v>
      </c>
      <c r="C465" s="52" t="s">
        <v>265</v>
      </c>
      <c r="D465" s="20" t="s">
        <v>46</v>
      </c>
      <c r="E465" s="20" t="s">
        <v>46</v>
      </c>
      <c r="F465" s="20" t="s">
        <v>61</v>
      </c>
      <c r="G465" s="20">
        <v>21.0</v>
      </c>
      <c r="H465" s="20">
        <v>13.0</v>
      </c>
      <c r="I465" s="20">
        <v>273.0</v>
      </c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</row>
    <row r="466">
      <c r="A466" s="20">
        <v>2026.0</v>
      </c>
      <c r="B466" s="20">
        <v>4.0</v>
      </c>
      <c r="C466" s="52" t="s">
        <v>265</v>
      </c>
      <c r="D466" s="20" t="s">
        <v>46</v>
      </c>
      <c r="E466" s="20" t="s">
        <v>46</v>
      </c>
      <c r="F466" s="20" t="s">
        <v>61</v>
      </c>
      <c r="G466" s="20">
        <v>12.0</v>
      </c>
      <c r="H466" s="20">
        <v>13.0</v>
      </c>
      <c r="I466" s="20">
        <f>G466*H466</f>
        <v>156</v>
      </c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</row>
    <row r="467">
      <c r="A467" s="20">
        <v>2026.0</v>
      </c>
      <c r="B467" s="20">
        <v>1.0</v>
      </c>
      <c r="C467" s="52" t="s">
        <v>74</v>
      </c>
      <c r="D467" s="20" t="s">
        <v>75</v>
      </c>
      <c r="E467" s="20" t="s">
        <v>17</v>
      </c>
      <c r="F467" s="20" t="s">
        <v>61</v>
      </c>
      <c r="G467" s="20">
        <v>19.0</v>
      </c>
      <c r="H467" s="20">
        <v>13.7</v>
      </c>
      <c r="I467" s="20">
        <v>260.3</v>
      </c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</row>
    <row r="468">
      <c r="A468" s="20">
        <v>2026.0</v>
      </c>
      <c r="B468" s="20">
        <v>2.0</v>
      </c>
      <c r="C468" s="52" t="s">
        <v>74</v>
      </c>
      <c r="D468" s="20" t="s">
        <v>75</v>
      </c>
      <c r="E468" s="20" t="s">
        <v>17</v>
      </c>
      <c r="F468" s="20" t="s">
        <v>61</v>
      </c>
      <c r="G468" s="20">
        <v>20.0</v>
      </c>
      <c r="H468" s="20">
        <v>13.7</v>
      </c>
      <c r="I468" s="20">
        <v>274.0</v>
      </c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</row>
    <row r="469">
      <c r="A469" s="20">
        <v>2026.0</v>
      </c>
      <c r="B469" s="20">
        <v>3.0</v>
      </c>
      <c r="C469" s="52" t="s">
        <v>74</v>
      </c>
      <c r="D469" s="20" t="s">
        <v>75</v>
      </c>
      <c r="E469" s="20" t="s">
        <v>17</v>
      </c>
      <c r="F469" s="20" t="s">
        <v>61</v>
      </c>
      <c r="G469" s="20">
        <v>21.0</v>
      </c>
      <c r="H469" s="20">
        <v>13.7</v>
      </c>
      <c r="I469" s="20">
        <v>287.7</v>
      </c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</row>
    <row r="470">
      <c r="A470" s="20">
        <v>2026.0</v>
      </c>
      <c r="B470" s="20">
        <v>1.0</v>
      </c>
      <c r="C470" s="52" t="s">
        <v>266</v>
      </c>
      <c r="D470" s="20" t="s">
        <v>267</v>
      </c>
      <c r="E470" s="20" t="s">
        <v>15</v>
      </c>
      <c r="F470" s="20" t="s">
        <v>61</v>
      </c>
      <c r="G470" s="20">
        <v>10.0</v>
      </c>
      <c r="H470" s="20">
        <v>14.5</v>
      </c>
      <c r="I470" s="20">
        <v>145.0</v>
      </c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</row>
    <row r="471">
      <c r="A471" s="20">
        <v>2026.0</v>
      </c>
      <c r="B471" s="20">
        <v>1.0</v>
      </c>
      <c r="C471" s="52" t="s">
        <v>266</v>
      </c>
      <c r="D471" s="20" t="s">
        <v>267</v>
      </c>
      <c r="E471" s="20" t="s">
        <v>15</v>
      </c>
      <c r="F471" s="20" t="s">
        <v>61</v>
      </c>
      <c r="G471" s="20">
        <v>11.0</v>
      </c>
      <c r="H471" s="20">
        <v>14.5</v>
      </c>
      <c r="I471" s="20">
        <v>159.5</v>
      </c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</row>
    <row r="472">
      <c r="A472" s="20">
        <v>2026.0</v>
      </c>
      <c r="B472" s="20">
        <v>2.0</v>
      </c>
      <c r="C472" s="20" t="s">
        <v>266</v>
      </c>
      <c r="D472" s="20" t="s">
        <v>267</v>
      </c>
      <c r="E472" s="20" t="s">
        <v>15</v>
      </c>
      <c r="F472" s="20" t="s">
        <v>61</v>
      </c>
      <c r="G472" s="20">
        <v>20.0</v>
      </c>
      <c r="H472" s="65">
        <v>14.5</v>
      </c>
      <c r="I472" s="53">
        <v>290.0</v>
      </c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</row>
    <row r="473">
      <c r="A473" s="20">
        <v>2026.0</v>
      </c>
      <c r="B473" s="20">
        <v>3.0</v>
      </c>
      <c r="C473" s="20" t="s">
        <v>266</v>
      </c>
      <c r="D473" s="20" t="s">
        <v>267</v>
      </c>
      <c r="E473" s="20" t="s">
        <v>15</v>
      </c>
      <c r="F473" s="20" t="s">
        <v>61</v>
      </c>
      <c r="G473" s="20">
        <v>22.0</v>
      </c>
      <c r="H473" s="65">
        <v>14.5</v>
      </c>
      <c r="I473" s="53">
        <v>319.0</v>
      </c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</row>
    <row r="474">
      <c r="A474" s="20">
        <v>2026.0</v>
      </c>
      <c r="B474" s="20">
        <v>3.0</v>
      </c>
      <c r="C474" s="20" t="s">
        <v>62</v>
      </c>
      <c r="D474" s="20" t="s">
        <v>251</v>
      </c>
      <c r="E474" s="20" t="s">
        <v>15</v>
      </c>
      <c r="F474" s="20" t="s">
        <v>61</v>
      </c>
      <c r="G474" s="20">
        <v>12.0</v>
      </c>
      <c r="H474" s="65">
        <v>38.2</v>
      </c>
      <c r="I474" s="53">
        <v>458.4</v>
      </c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</row>
    <row r="475">
      <c r="A475" s="20">
        <v>2026.0</v>
      </c>
      <c r="B475" s="20">
        <v>3.0</v>
      </c>
      <c r="C475" s="52" t="s">
        <v>62</v>
      </c>
      <c r="D475" s="20" t="s">
        <v>251</v>
      </c>
      <c r="E475" s="20" t="s">
        <v>35</v>
      </c>
      <c r="F475" s="20" t="s">
        <v>61</v>
      </c>
      <c r="G475" s="20">
        <v>12.0</v>
      </c>
      <c r="H475" s="20">
        <v>8.8</v>
      </c>
      <c r="I475" s="20">
        <v>105.6</v>
      </c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</row>
    <row r="476">
      <c r="A476" s="20">
        <v>2026.0</v>
      </c>
      <c r="B476" s="20">
        <v>1.0</v>
      </c>
      <c r="C476" s="52" t="s">
        <v>268</v>
      </c>
      <c r="D476" s="20" t="s">
        <v>269</v>
      </c>
      <c r="E476" s="20" t="s">
        <v>28</v>
      </c>
      <c r="F476" s="20" t="s">
        <v>61</v>
      </c>
      <c r="G476" s="20">
        <v>19.0</v>
      </c>
      <c r="H476" s="20">
        <v>2.0</v>
      </c>
      <c r="I476" s="20">
        <v>38.0</v>
      </c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</row>
    <row r="477">
      <c r="A477" s="20">
        <v>2026.0</v>
      </c>
      <c r="B477" s="20">
        <v>2.0</v>
      </c>
      <c r="C477" s="52" t="s">
        <v>268</v>
      </c>
      <c r="D477" s="20" t="s">
        <v>269</v>
      </c>
      <c r="E477" s="20" t="s">
        <v>28</v>
      </c>
      <c r="F477" s="20" t="s">
        <v>61</v>
      </c>
      <c r="G477" s="20">
        <v>18.5</v>
      </c>
      <c r="H477" s="20">
        <v>2.0</v>
      </c>
      <c r="I477" s="20">
        <v>37.0</v>
      </c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</row>
    <row r="478">
      <c r="A478" s="20">
        <v>2026.0</v>
      </c>
      <c r="B478" s="20">
        <v>3.0</v>
      </c>
      <c r="C478" s="52" t="s">
        <v>268</v>
      </c>
      <c r="D478" s="20" t="s">
        <v>269</v>
      </c>
      <c r="E478" s="20" t="s">
        <v>28</v>
      </c>
      <c r="F478" s="20" t="s">
        <v>61</v>
      </c>
      <c r="G478" s="20">
        <v>21.0</v>
      </c>
      <c r="H478" s="20">
        <v>2.0</v>
      </c>
      <c r="I478" s="20">
        <v>42.0</v>
      </c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</row>
    <row r="479">
      <c r="A479" s="20">
        <v>2026.0</v>
      </c>
      <c r="B479" s="20">
        <v>1.0</v>
      </c>
      <c r="C479" s="52" t="s">
        <v>270</v>
      </c>
      <c r="D479" s="20" t="s">
        <v>271</v>
      </c>
      <c r="E479" s="20" t="s">
        <v>28</v>
      </c>
      <c r="F479" s="20" t="s">
        <v>61</v>
      </c>
      <c r="G479" s="20">
        <v>20.5</v>
      </c>
      <c r="H479" s="20">
        <v>3.1</v>
      </c>
      <c r="I479" s="20">
        <v>63.55</v>
      </c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</row>
    <row r="480">
      <c r="A480" s="20">
        <v>2026.0</v>
      </c>
      <c r="B480" s="20">
        <v>2.0</v>
      </c>
      <c r="C480" s="52" t="s">
        <v>270</v>
      </c>
      <c r="D480" s="20" t="s">
        <v>271</v>
      </c>
      <c r="E480" s="20" t="s">
        <v>28</v>
      </c>
      <c r="F480" s="20" t="s">
        <v>61</v>
      </c>
      <c r="G480" s="20">
        <v>19.0</v>
      </c>
      <c r="H480" s="20">
        <v>3.1</v>
      </c>
      <c r="I480" s="20">
        <v>58.9</v>
      </c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</row>
    <row r="481">
      <c r="A481" s="20">
        <v>2026.0</v>
      </c>
      <c r="B481" s="20">
        <v>3.0</v>
      </c>
      <c r="C481" s="52" t="s">
        <v>270</v>
      </c>
      <c r="D481" s="20" t="s">
        <v>271</v>
      </c>
      <c r="E481" s="20" t="s">
        <v>28</v>
      </c>
      <c r="F481" s="20" t="s">
        <v>61</v>
      </c>
      <c r="G481" s="20">
        <v>20.0</v>
      </c>
      <c r="H481" s="20">
        <v>3.1</v>
      </c>
      <c r="I481" s="20">
        <v>62.0</v>
      </c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</row>
    <row r="482">
      <c r="A482" s="20">
        <v>2026.0</v>
      </c>
      <c r="B482" s="20">
        <v>1.0</v>
      </c>
      <c r="C482" s="52" t="s">
        <v>145</v>
      </c>
      <c r="D482" s="20" t="s">
        <v>48</v>
      </c>
      <c r="E482" s="20" t="s">
        <v>28</v>
      </c>
      <c r="F482" s="20" t="s">
        <v>61</v>
      </c>
      <c r="G482" s="20">
        <v>20.0</v>
      </c>
      <c r="H482" s="20">
        <v>10.0</v>
      </c>
      <c r="I482" s="20">
        <v>200.0</v>
      </c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</row>
    <row r="483">
      <c r="A483" s="20">
        <v>2026.0</v>
      </c>
      <c r="B483" s="20">
        <v>2.0</v>
      </c>
      <c r="C483" s="52" t="s">
        <v>145</v>
      </c>
      <c r="D483" s="20" t="s">
        <v>48</v>
      </c>
      <c r="E483" s="20" t="s">
        <v>28</v>
      </c>
      <c r="F483" s="20" t="s">
        <v>61</v>
      </c>
      <c r="G483" s="20">
        <v>15.0</v>
      </c>
      <c r="H483" s="20">
        <v>10.0</v>
      </c>
      <c r="I483" s="20">
        <v>150.0</v>
      </c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</row>
    <row r="484">
      <c r="A484" s="20">
        <v>2026.0</v>
      </c>
      <c r="B484" s="20">
        <v>3.0</v>
      </c>
      <c r="C484" s="52" t="s">
        <v>145</v>
      </c>
      <c r="D484" s="20" t="s">
        <v>48</v>
      </c>
      <c r="E484" s="20" t="s">
        <v>28</v>
      </c>
      <c r="F484" s="20" t="s">
        <v>61</v>
      </c>
      <c r="G484" s="20">
        <v>17.0</v>
      </c>
      <c r="H484" s="20">
        <v>10.0</v>
      </c>
      <c r="I484" s="20">
        <v>170.0</v>
      </c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</row>
    <row r="485">
      <c r="A485" s="20">
        <v>2026.0</v>
      </c>
      <c r="B485" s="20">
        <v>1.0</v>
      </c>
      <c r="C485" s="52" t="s">
        <v>272</v>
      </c>
      <c r="D485" s="20" t="s">
        <v>273</v>
      </c>
      <c r="E485" s="20" t="s">
        <v>23</v>
      </c>
      <c r="F485" s="20" t="s">
        <v>61</v>
      </c>
      <c r="G485" s="20">
        <v>9.0</v>
      </c>
      <c r="H485" s="20">
        <v>37.5</v>
      </c>
      <c r="I485" s="20">
        <v>337.5</v>
      </c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</row>
    <row r="486">
      <c r="A486" s="20">
        <v>2026.0</v>
      </c>
      <c r="B486" s="20">
        <v>1.0</v>
      </c>
      <c r="C486" s="52" t="s">
        <v>272</v>
      </c>
      <c r="D486" s="20" t="s">
        <v>273</v>
      </c>
      <c r="E486" s="20" t="s">
        <v>23</v>
      </c>
      <c r="F486" s="20" t="s">
        <v>61</v>
      </c>
      <c r="G486" s="20">
        <v>10.5</v>
      </c>
      <c r="H486" s="20">
        <v>37.5</v>
      </c>
      <c r="I486" s="20">
        <v>393.75</v>
      </c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</row>
    <row r="487">
      <c r="A487" s="20">
        <v>2026.0</v>
      </c>
      <c r="B487" s="20">
        <v>2.0</v>
      </c>
      <c r="C487" s="52" t="s">
        <v>272</v>
      </c>
      <c r="D487" s="20" t="s">
        <v>273</v>
      </c>
      <c r="E487" s="20" t="s">
        <v>23</v>
      </c>
      <c r="F487" s="20" t="s">
        <v>61</v>
      </c>
      <c r="G487" s="20">
        <v>1.5</v>
      </c>
      <c r="H487" s="20">
        <v>37.5</v>
      </c>
      <c r="I487" s="20">
        <v>56.25</v>
      </c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</row>
    <row r="488">
      <c r="A488" s="20">
        <v>2026.0</v>
      </c>
      <c r="B488" s="20">
        <v>2.0</v>
      </c>
      <c r="C488" s="52" t="s">
        <v>272</v>
      </c>
      <c r="D488" s="20" t="s">
        <v>273</v>
      </c>
      <c r="E488" s="20" t="s">
        <v>23</v>
      </c>
      <c r="F488" s="20" t="s">
        <v>61</v>
      </c>
      <c r="G488" s="20">
        <v>18.5</v>
      </c>
      <c r="H488" s="20">
        <v>37.5</v>
      </c>
      <c r="I488" s="20">
        <v>693.75</v>
      </c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</row>
    <row r="489">
      <c r="A489" s="20">
        <v>2026.0</v>
      </c>
      <c r="B489" s="20">
        <v>3.0</v>
      </c>
      <c r="C489" s="52" t="s">
        <v>272</v>
      </c>
      <c r="D489" s="20" t="s">
        <v>273</v>
      </c>
      <c r="E489" s="20" t="s">
        <v>23</v>
      </c>
      <c r="F489" s="20" t="s">
        <v>61</v>
      </c>
      <c r="G489" s="20">
        <v>9.0</v>
      </c>
      <c r="H489" s="20">
        <v>37.5</v>
      </c>
      <c r="I489" s="20">
        <v>337.5</v>
      </c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</row>
    <row r="490">
      <c r="A490" s="20">
        <v>2026.0</v>
      </c>
      <c r="B490" s="20">
        <v>3.0</v>
      </c>
      <c r="C490" s="52" t="s">
        <v>272</v>
      </c>
      <c r="D490" s="20" t="s">
        <v>273</v>
      </c>
      <c r="E490" s="20" t="s">
        <v>23</v>
      </c>
      <c r="F490" s="20" t="s">
        <v>61</v>
      </c>
      <c r="G490" s="20">
        <v>13.0</v>
      </c>
      <c r="H490" s="20">
        <v>37.5</v>
      </c>
      <c r="I490" s="20">
        <v>487.5</v>
      </c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</row>
    <row r="491">
      <c r="A491" s="20">
        <v>2026.0</v>
      </c>
      <c r="B491" s="20">
        <v>1.0</v>
      </c>
      <c r="C491" s="52" t="s">
        <v>274</v>
      </c>
      <c r="D491" s="20" t="s">
        <v>275</v>
      </c>
      <c r="E491" s="20" t="s">
        <v>28</v>
      </c>
      <c r="F491" s="20" t="s">
        <v>61</v>
      </c>
      <c r="G491" s="20">
        <v>9.0</v>
      </c>
      <c r="H491" s="20">
        <v>7.5</v>
      </c>
      <c r="I491" s="20">
        <v>67.5</v>
      </c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</row>
    <row r="492">
      <c r="A492" s="20">
        <v>2026.0</v>
      </c>
      <c r="B492" s="20">
        <v>2.0</v>
      </c>
      <c r="C492" s="52" t="s">
        <v>274</v>
      </c>
      <c r="D492" s="20" t="s">
        <v>275</v>
      </c>
      <c r="E492" s="20" t="s">
        <v>28</v>
      </c>
      <c r="F492" s="20" t="s">
        <v>61</v>
      </c>
      <c r="G492" s="20">
        <v>18.0</v>
      </c>
      <c r="H492" s="20">
        <v>7.5</v>
      </c>
      <c r="I492" s="20">
        <v>135.0</v>
      </c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</row>
    <row r="493">
      <c r="A493" s="20">
        <v>2026.0</v>
      </c>
      <c r="B493" s="20">
        <v>3.0</v>
      </c>
      <c r="C493" s="52" t="s">
        <v>274</v>
      </c>
      <c r="D493" s="20" t="s">
        <v>275</v>
      </c>
      <c r="E493" s="20" t="s">
        <v>28</v>
      </c>
      <c r="F493" s="20" t="s">
        <v>61</v>
      </c>
      <c r="G493" s="20">
        <v>18.0</v>
      </c>
      <c r="H493" s="20">
        <v>7.5</v>
      </c>
      <c r="I493" s="20">
        <v>135.0</v>
      </c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</row>
    <row r="494">
      <c r="A494" s="20">
        <v>2026.0</v>
      </c>
      <c r="B494" s="20">
        <v>1.0</v>
      </c>
      <c r="C494" s="52" t="s">
        <v>276</v>
      </c>
      <c r="D494" s="20" t="s">
        <v>49</v>
      </c>
      <c r="E494" s="20" t="s">
        <v>49</v>
      </c>
      <c r="F494" s="20" t="s">
        <v>61</v>
      </c>
      <c r="G494" s="20">
        <v>20.0</v>
      </c>
      <c r="H494" s="20">
        <v>16.8</v>
      </c>
      <c r="I494" s="20">
        <v>336.0</v>
      </c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</row>
    <row r="495">
      <c r="A495" s="20">
        <v>2026.0</v>
      </c>
      <c r="B495" s="20">
        <v>2.0</v>
      </c>
      <c r="C495" s="52" t="s">
        <v>276</v>
      </c>
      <c r="D495" s="20" t="s">
        <v>49</v>
      </c>
      <c r="E495" s="20" t="s">
        <v>49</v>
      </c>
      <c r="F495" s="20" t="s">
        <v>61</v>
      </c>
      <c r="G495" s="20">
        <v>20.0</v>
      </c>
      <c r="H495" s="20">
        <v>16.8</v>
      </c>
      <c r="I495" s="20">
        <v>336.0</v>
      </c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</row>
    <row r="496">
      <c r="A496" s="20">
        <v>2026.0</v>
      </c>
      <c r="B496" s="20">
        <v>3.0</v>
      </c>
      <c r="C496" s="52" t="s">
        <v>276</v>
      </c>
      <c r="D496" s="20" t="s">
        <v>49</v>
      </c>
      <c r="E496" s="20" t="s">
        <v>49</v>
      </c>
      <c r="F496" s="20" t="s">
        <v>61</v>
      </c>
      <c r="G496" s="20">
        <v>20.0</v>
      </c>
      <c r="H496" s="20">
        <v>16.8</v>
      </c>
      <c r="I496" s="20">
        <v>336.0</v>
      </c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</row>
    <row r="497">
      <c r="A497" s="20">
        <v>2026.0</v>
      </c>
      <c r="B497" s="20">
        <v>1.0</v>
      </c>
      <c r="C497" s="52" t="s">
        <v>277</v>
      </c>
      <c r="D497" s="20" t="s">
        <v>278</v>
      </c>
      <c r="E497" s="20" t="s">
        <v>26</v>
      </c>
      <c r="F497" s="20" t="s">
        <v>61</v>
      </c>
      <c r="G497" s="20">
        <v>20.0</v>
      </c>
      <c r="H497" s="20">
        <v>13.1</v>
      </c>
      <c r="I497" s="20">
        <v>262.0</v>
      </c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</row>
    <row r="498">
      <c r="A498" s="20">
        <v>2026.0</v>
      </c>
      <c r="B498" s="20">
        <v>1.0</v>
      </c>
      <c r="C498" s="52" t="s">
        <v>277</v>
      </c>
      <c r="D498" s="20" t="s">
        <v>278</v>
      </c>
      <c r="E498" s="20" t="s">
        <v>28</v>
      </c>
      <c r="F498" s="20" t="s">
        <v>61</v>
      </c>
      <c r="G498" s="20">
        <v>20.0</v>
      </c>
      <c r="H498" s="20">
        <v>5.0</v>
      </c>
      <c r="I498" s="20">
        <v>100.0</v>
      </c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</row>
    <row r="499">
      <c r="A499" s="20">
        <v>2026.0</v>
      </c>
      <c r="B499" s="20">
        <v>2.0</v>
      </c>
      <c r="C499" s="52" t="s">
        <v>277</v>
      </c>
      <c r="D499" s="20" t="s">
        <v>278</v>
      </c>
      <c r="E499" s="20" t="s">
        <v>26</v>
      </c>
      <c r="F499" s="20" t="s">
        <v>61</v>
      </c>
      <c r="G499" s="20">
        <v>19.5</v>
      </c>
      <c r="H499" s="20">
        <v>13.1</v>
      </c>
      <c r="I499" s="20">
        <v>255.45</v>
      </c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</row>
    <row r="500">
      <c r="A500" s="20">
        <v>2026.0</v>
      </c>
      <c r="B500" s="20">
        <v>2.0</v>
      </c>
      <c r="C500" s="52" t="s">
        <v>277</v>
      </c>
      <c r="D500" s="20" t="s">
        <v>278</v>
      </c>
      <c r="E500" s="20" t="s">
        <v>28</v>
      </c>
      <c r="F500" s="20" t="s">
        <v>61</v>
      </c>
      <c r="G500" s="20">
        <v>19.5</v>
      </c>
      <c r="H500" s="20">
        <v>5.0</v>
      </c>
      <c r="I500" s="20">
        <v>97.5</v>
      </c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</row>
    <row r="501">
      <c r="A501" s="20">
        <v>2026.0</v>
      </c>
      <c r="B501" s="20">
        <v>3.0</v>
      </c>
      <c r="C501" s="52" t="s">
        <v>277</v>
      </c>
      <c r="D501" s="20" t="s">
        <v>278</v>
      </c>
      <c r="E501" s="20" t="s">
        <v>26</v>
      </c>
      <c r="F501" s="20" t="s">
        <v>61</v>
      </c>
      <c r="G501" s="20">
        <v>20.0</v>
      </c>
      <c r="H501" s="20">
        <v>13.1</v>
      </c>
      <c r="I501" s="20">
        <v>262.0</v>
      </c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</row>
    <row r="502">
      <c r="A502" s="20">
        <v>2026.0</v>
      </c>
      <c r="B502" s="20">
        <v>3.0</v>
      </c>
      <c r="C502" s="52" t="s">
        <v>277</v>
      </c>
      <c r="D502" s="20" t="s">
        <v>278</v>
      </c>
      <c r="E502" s="20" t="s">
        <v>28</v>
      </c>
      <c r="F502" s="20" t="s">
        <v>61</v>
      </c>
      <c r="G502" s="20">
        <v>20.0</v>
      </c>
      <c r="H502" s="20">
        <v>5.0</v>
      </c>
      <c r="I502" s="20">
        <v>100.0</v>
      </c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</row>
    <row r="503">
      <c r="A503" s="20">
        <v>2026.0</v>
      </c>
      <c r="B503" s="20">
        <v>1.0</v>
      </c>
      <c r="C503" s="52" t="s">
        <v>90</v>
      </c>
      <c r="D503" s="20" t="s">
        <v>91</v>
      </c>
      <c r="E503" s="20" t="s">
        <v>26</v>
      </c>
      <c r="F503" s="20" t="s">
        <v>61</v>
      </c>
      <c r="G503" s="20">
        <v>12.0</v>
      </c>
      <c r="H503" s="20">
        <v>26.6</v>
      </c>
      <c r="I503" s="20">
        <v>319.2</v>
      </c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</row>
    <row r="504">
      <c r="A504" s="20">
        <v>2026.0</v>
      </c>
      <c r="B504" s="20">
        <v>2.0</v>
      </c>
      <c r="C504" s="52" t="s">
        <v>90</v>
      </c>
      <c r="D504" s="20" t="s">
        <v>91</v>
      </c>
      <c r="E504" s="20" t="s">
        <v>26</v>
      </c>
      <c r="F504" s="20" t="s">
        <v>61</v>
      </c>
      <c r="G504" s="20">
        <v>20.0</v>
      </c>
      <c r="H504" s="20">
        <v>26.6</v>
      </c>
      <c r="I504" s="20">
        <v>532.0</v>
      </c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</row>
    <row r="505">
      <c r="A505" s="20">
        <v>2026.0</v>
      </c>
      <c r="B505" s="20">
        <v>3.0</v>
      </c>
      <c r="C505" s="52" t="s">
        <v>90</v>
      </c>
      <c r="D505" s="20" t="s">
        <v>91</v>
      </c>
      <c r="E505" s="20" t="s">
        <v>26</v>
      </c>
      <c r="F505" s="20" t="s">
        <v>61</v>
      </c>
      <c r="G505" s="20">
        <v>21.0</v>
      </c>
      <c r="H505" s="20">
        <v>26.6</v>
      </c>
      <c r="I505" s="20">
        <v>558.6</v>
      </c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</row>
    <row r="506">
      <c r="A506" s="20">
        <v>2026.0</v>
      </c>
      <c r="B506" s="20">
        <v>3.0</v>
      </c>
      <c r="C506" s="52" t="s">
        <v>66</v>
      </c>
      <c r="D506" s="20" t="s">
        <v>67</v>
      </c>
      <c r="E506" s="20" t="s">
        <v>13</v>
      </c>
      <c r="F506" s="20" t="s">
        <v>68</v>
      </c>
      <c r="G506" s="64"/>
      <c r="H506" s="64"/>
      <c r="I506" s="20">
        <v>290.0</v>
      </c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</row>
    <row r="507">
      <c r="A507" s="20">
        <v>2026.0</v>
      </c>
      <c r="B507" s="20">
        <v>3.0</v>
      </c>
      <c r="C507" s="52" t="s">
        <v>69</v>
      </c>
      <c r="D507" s="20" t="s">
        <v>70</v>
      </c>
      <c r="E507" s="20" t="s">
        <v>13</v>
      </c>
      <c r="F507" s="20" t="s">
        <v>68</v>
      </c>
      <c r="G507" s="64"/>
      <c r="H507" s="64"/>
      <c r="I507" s="20">
        <v>290.0</v>
      </c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</row>
    <row r="508">
      <c r="A508" s="20">
        <v>2026.0</v>
      </c>
      <c r="B508" s="20">
        <v>3.0</v>
      </c>
      <c r="C508" s="52" t="s">
        <v>72</v>
      </c>
      <c r="D508" s="20" t="s">
        <v>73</v>
      </c>
      <c r="E508" s="20" t="s">
        <v>13</v>
      </c>
      <c r="F508" s="20" t="s">
        <v>68</v>
      </c>
      <c r="G508" s="64"/>
      <c r="H508" s="64"/>
      <c r="I508" s="20">
        <v>290.0</v>
      </c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</row>
    <row r="509">
      <c r="A509" s="20">
        <v>2026.0</v>
      </c>
      <c r="B509" s="20">
        <v>1.0</v>
      </c>
      <c r="C509" s="52" t="s">
        <v>62</v>
      </c>
      <c r="D509" s="20" t="s">
        <v>143</v>
      </c>
      <c r="E509" s="20" t="s">
        <v>15</v>
      </c>
      <c r="F509" s="20" t="s">
        <v>68</v>
      </c>
      <c r="G509" s="64"/>
      <c r="H509" s="64"/>
      <c r="I509" s="20">
        <v>290.0</v>
      </c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</row>
    <row r="510">
      <c r="A510" s="20">
        <v>2026.0</v>
      </c>
      <c r="B510" s="20">
        <v>2.0</v>
      </c>
      <c r="C510" s="52" t="s">
        <v>62</v>
      </c>
      <c r="D510" s="20" t="s">
        <v>143</v>
      </c>
      <c r="E510" s="20" t="s">
        <v>15</v>
      </c>
      <c r="F510" s="20" t="s">
        <v>68</v>
      </c>
      <c r="G510" s="64"/>
      <c r="H510" s="64"/>
      <c r="I510" s="20">
        <v>290.0</v>
      </c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</row>
    <row r="511">
      <c r="A511" s="20">
        <v>2026.0</v>
      </c>
      <c r="B511" s="20">
        <v>1.0</v>
      </c>
      <c r="C511" s="52" t="s">
        <v>62</v>
      </c>
      <c r="D511" s="20" t="s">
        <v>126</v>
      </c>
      <c r="E511" s="20" t="s">
        <v>15</v>
      </c>
      <c r="F511" s="20" t="s">
        <v>68</v>
      </c>
      <c r="G511" s="64"/>
      <c r="H511" s="64"/>
      <c r="I511" s="20">
        <v>290.0</v>
      </c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</row>
    <row r="512">
      <c r="A512" s="20">
        <v>2026.0</v>
      </c>
      <c r="B512" s="20">
        <v>2.0</v>
      </c>
      <c r="C512" s="52" t="s">
        <v>62</v>
      </c>
      <c r="D512" s="20" t="s">
        <v>126</v>
      </c>
      <c r="E512" s="20" t="s">
        <v>15</v>
      </c>
      <c r="F512" s="20" t="s">
        <v>68</v>
      </c>
      <c r="G512" s="64"/>
      <c r="H512" s="64"/>
      <c r="I512" s="20">
        <v>290.0</v>
      </c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</row>
    <row r="513">
      <c r="A513" s="20">
        <v>2026.0</v>
      </c>
      <c r="B513" s="20">
        <v>1.0</v>
      </c>
      <c r="C513" s="52" t="s">
        <v>74</v>
      </c>
      <c r="D513" s="20" t="s">
        <v>75</v>
      </c>
      <c r="E513" s="20" t="s">
        <v>17</v>
      </c>
      <c r="F513" s="20" t="s">
        <v>68</v>
      </c>
      <c r="G513" s="64"/>
      <c r="H513" s="64"/>
      <c r="I513" s="20">
        <v>290.0</v>
      </c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</row>
    <row r="514">
      <c r="A514" s="20">
        <v>2026.0</v>
      </c>
      <c r="B514" s="20">
        <v>2.0</v>
      </c>
      <c r="C514" s="52" t="s">
        <v>74</v>
      </c>
      <c r="D514" s="20" t="s">
        <v>75</v>
      </c>
      <c r="E514" s="20" t="s">
        <v>17</v>
      </c>
      <c r="F514" s="20" t="s">
        <v>68</v>
      </c>
      <c r="G514" s="64"/>
      <c r="H514" s="64"/>
      <c r="I514" s="20">
        <v>290.0</v>
      </c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</row>
    <row r="515">
      <c r="A515" s="20">
        <v>2026.0</v>
      </c>
      <c r="B515" s="20">
        <v>3.0</v>
      </c>
      <c r="C515" s="52" t="s">
        <v>74</v>
      </c>
      <c r="D515" s="20" t="s">
        <v>75</v>
      </c>
      <c r="E515" s="20" t="s">
        <v>17</v>
      </c>
      <c r="F515" s="20" t="s">
        <v>68</v>
      </c>
      <c r="G515" s="64"/>
      <c r="H515" s="64"/>
      <c r="I515" s="20">
        <v>290.0</v>
      </c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</row>
    <row r="516">
      <c r="A516" s="20">
        <v>2026.0</v>
      </c>
      <c r="B516" s="20">
        <v>1.0</v>
      </c>
      <c r="C516" s="52" t="s">
        <v>80</v>
      </c>
      <c r="D516" s="20" t="s">
        <v>81</v>
      </c>
      <c r="E516" s="20" t="s">
        <v>23</v>
      </c>
      <c r="F516" s="20" t="s">
        <v>68</v>
      </c>
      <c r="G516" s="64"/>
      <c r="H516" s="64"/>
      <c r="I516" s="20">
        <v>290.0</v>
      </c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</row>
    <row r="517">
      <c r="A517" s="20">
        <v>2026.0</v>
      </c>
      <c r="B517" s="20">
        <v>2.0</v>
      </c>
      <c r="C517" s="52" t="s">
        <v>80</v>
      </c>
      <c r="D517" s="20" t="s">
        <v>81</v>
      </c>
      <c r="E517" s="20" t="s">
        <v>23</v>
      </c>
      <c r="F517" s="20" t="s">
        <v>68</v>
      </c>
      <c r="G517" s="64"/>
      <c r="H517" s="64"/>
      <c r="I517" s="20">
        <v>290.0</v>
      </c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</row>
    <row r="518">
      <c r="A518" s="20">
        <v>2026.0</v>
      </c>
      <c r="B518" s="20">
        <v>3.0</v>
      </c>
      <c r="C518" s="52" t="s">
        <v>80</v>
      </c>
      <c r="D518" s="20" t="s">
        <v>81</v>
      </c>
      <c r="E518" s="20" t="s">
        <v>23</v>
      </c>
      <c r="F518" s="20" t="s">
        <v>68</v>
      </c>
      <c r="G518" s="64"/>
      <c r="H518" s="64"/>
      <c r="I518" s="20">
        <v>290.0</v>
      </c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</row>
    <row r="519">
      <c r="A519" s="20">
        <v>2026.0</v>
      </c>
      <c r="B519" s="20">
        <v>1.0</v>
      </c>
      <c r="C519" s="52" t="s">
        <v>169</v>
      </c>
      <c r="D519" s="20" t="s">
        <v>170</v>
      </c>
      <c r="E519" s="20" t="s">
        <v>27</v>
      </c>
      <c r="F519" s="20" t="s">
        <v>68</v>
      </c>
      <c r="G519" s="64"/>
      <c r="H519" s="64"/>
      <c r="I519" s="20">
        <v>290.0</v>
      </c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</row>
    <row r="520">
      <c r="A520" s="20">
        <v>2026.0</v>
      </c>
      <c r="B520" s="20">
        <v>2.0</v>
      </c>
      <c r="C520" s="52" t="s">
        <v>76</v>
      </c>
      <c r="D520" s="20" t="s">
        <v>77</v>
      </c>
      <c r="E520" s="20" t="s">
        <v>28</v>
      </c>
      <c r="F520" s="20" t="s">
        <v>68</v>
      </c>
      <c r="G520" s="64"/>
      <c r="H520" s="64"/>
      <c r="I520" s="20">
        <v>124.29</v>
      </c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</row>
    <row r="521">
      <c r="A521" s="20">
        <v>2026.0</v>
      </c>
      <c r="B521" s="20">
        <v>3.0</v>
      </c>
      <c r="C521" s="52" t="s">
        <v>76</v>
      </c>
      <c r="D521" s="20" t="s">
        <v>77</v>
      </c>
      <c r="E521" s="20" t="s">
        <v>28</v>
      </c>
      <c r="F521" s="20" t="s">
        <v>68</v>
      </c>
      <c r="G521" s="64"/>
      <c r="H521" s="64"/>
      <c r="I521" s="20">
        <v>290.0</v>
      </c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</row>
    <row r="522">
      <c r="A522" s="20">
        <v>2026.0</v>
      </c>
      <c r="B522" s="20">
        <v>2.0</v>
      </c>
      <c r="C522" s="52" t="s">
        <v>84</v>
      </c>
      <c r="D522" s="20" t="s">
        <v>85</v>
      </c>
      <c r="E522" s="20" t="s">
        <v>28</v>
      </c>
      <c r="F522" s="20" t="s">
        <v>68</v>
      </c>
      <c r="G522" s="64"/>
      <c r="H522" s="64"/>
      <c r="I522" s="20">
        <v>113.93</v>
      </c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</row>
    <row r="523">
      <c r="A523" s="20">
        <v>2026.0</v>
      </c>
      <c r="B523" s="20">
        <v>3.0</v>
      </c>
      <c r="C523" s="52" t="s">
        <v>84</v>
      </c>
      <c r="D523" s="20" t="s">
        <v>85</v>
      </c>
      <c r="E523" s="20" t="s">
        <v>28</v>
      </c>
      <c r="F523" s="20" t="s">
        <v>68</v>
      </c>
      <c r="G523" s="64"/>
      <c r="H523" s="64"/>
      <c r="I523" s="20">
        <v>290.0</v>
      </c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</row>
    <row r="524">
      <c r="A524" s="20">
        <v>2026.0</v>
      </c>
      <c r="B524" s="20">
        <v>1.0</v>
      </c>
      <c r="C524" s="52" t="s">
        <v>90</v>
      </c>
      <c r="D524" s="20" t="s">
        <v>91</v>
      </c>
      <c r="E524" s="20" t="s">
        <v>30</v>
      </c>
      <c r="F524" s="20" t="s">
        <v>68</v>
      </c>
      <c r="G524" s="64"/>
      <c r="H524" s="64"/>
      <c r="I524" s="20">
        <v>159.03</v>
      </c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</row>
    <row r="525">
      <c r="A525" s="20">
        <v>2026.0</v>
      </c>
      <c r="B525" s="20">
        <v>2.0</v>
      </c>
      <c r="C525" s="52" t="s">
        <v>90</v>
      </c>
      <c r="D525" s="20" t="s">
        <v>91</v>
      </c>
      <c r="E525" s="20" t="s">
        <v>30</v>
      </c>
      <c r="F525" s="20" t="s">
        <v>68</v>
      </c>
      <c r="G525" s="64"/>
      <c r="H525" s="64"/>
      <c r="I525" s="20">
        <v>290.0</v>
      </c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</row>
    <row r="526">
      <c r="A526" s="20">
        <v>2026.0</v>
      </c>
      <c r="B526" s="20">
        <v>3.0</v>
      </c>
      <c r="C526" s="52" t="s">
        <v>90</v>
      </c>
      <c r="D526" s="20" t="s">
        <v>91</v>
      </c>
      <c r="E526" s="20" t="s">
        <v>30</v>
      </c>
      <c r="F526" s="20" t="s">
        <v>68</v>
      </c>
      <c r="G526" s="64"/>
      <c r="H526" s="64"/>
      <c r="I526" s="20">
        <v>290.0</v>
      </c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</row>
    <row r="527">
      <c r="A527" s="20">
        <v>2026.0</v>
      </c>
      <c r="B527" s="20">
        <v>1.0</v>
      </c>
      <c r="C527" s="52" t="s">
        <v>92</v>
      </c>
      <c r="D527" s="20" t="s">
        <v>93</v>
      </c>
      <c r="E527" s="20" t="s">
        <v>31</v>
      </c>
      <c r="F527" s="20" t="s">
        <v>68</v>
      </c>
      <c r="G527" s="64"/>
      <c r="H527" s="64"/>
      <c r="I527" s="20">
        <v>290.0</v>
      </c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</row>
    <row r="528">
      <c r="A528" s="20">
        <v>2026.0</v>
      </c>
      <c r="B528" s="20">
        <v>2.0</v>
      </c>
      <c r="C528" s="52" t="s">
        <v>92</v>
      </c>
      <c r="D528" s="20" t="s">
        <v>93</v>
      </c>
      <c r="E528" s="20" t="s">
        <v>31</v>
      </c>
      <c r="F528" s="20" t="s">
        <v>68</v>
      </c>
      <c r="G528" s="64"/>
      <c r="H528" s="64"/>
      <c r="I528" s="20">
        <v>290.0</v>
      </c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</row>
    <row r="529">
      <c r="A529" s="20">
        <v>2026.0</v>
      </c>
      <c r="B529" s="20">
        <v>3.0</v>
      </c>
      <c r="C529" s="52" t="s">
        <v>92</v>
      </c>
      <c r="D529" s="20" t="s">
        <v>93</v>
      </c>
      <c r="E529" s="20" t="s">
        <v>31</v>
      </c>
      <c r="F529" s="20" t="s">
        <v>68</v>
      </c>
      <c r="G529" s="64"/>
      <c r="H529" s="64"/>
      <c r="I529" s="20">
        <v>290.0</v>
      </c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</row>
    <row r="530">
      <c r="A530" s="20">
        <v>2026.0</v>
      </c>
      <c r="B530" s="20">
        <v>1.0</v>
      </c>
      <c r="C530" s="52" t="s">
        <v>95</v>
      </c>
      <c r="D530" s="20" t="s">
        <v>96</v>
      </c>
      <c r="E530" s="20" t="s">
        <v>31</v>
      </c>
      <c r="F530" s="20" t="s">
        <v>68</v>
      </c>
      <c r="G530" s="64"/>
      <c r="H530" s="64"/>
      <c r="I530" s="20">
        <v>290.0</v>
      </c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</row>
    <row r="531">
      <c r="A531" s="20">
        <v>2026.0</v>
      </c>
      <c r="B531" s="20">
        <v>2.0</v>
      </c>
      <c r="C531" s="52" t="s">
        <v>95</v>
      </c>
      <c r="D531" s="20" t="s">
        <v>96</v>
      </c>
      <c r="E531" s="20" t="s">
        <v>31</v>
      </c>
      <c r="F531" s="20" t="s">
        <v>68</v>
      </c>
      <c r="G531" s="64"/>
      <c r="H531" s="64"/>
      <c r="I531" s="20">
        <v>290.0</v>
      </c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</row>
    <row r="532">
      <c r="A532" s="20">
        <v>2026.0</v>
      </c>
      <c r="B532" s="20">
        <v>3.0</v>
      </c>
      <c r="C532" s="52" t="s">
        <v>95</v>
      </c>
      <c r="D532" s="20" t="s">
        <v>96</v>
      </c>
      <c r="E532" s="20" t="s">
        <v>31</v>
      </c>
      <c r="F532" s="20" t="s">
        <v>68</v>
      </c>
      <c r="G532" s="64"/>
      <c r="H532" s="64"/>
      <c r="I532" s="20">
        <v>290.0</v>
      </c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</row>
    <row r="533">
      <c r="A533" s="20">
        <v>2026.0</v>
      </c>
      <c r="B533" s="20">
        <v>1.0</v>
      </c>
      <c r="C533" s="52" t="s">
        <v>99</v>
      </c>
      <c r="D533" s="20" t="s">
        <v>83</v>
      </c>
      <c r="E533" s="20" t="s">
        <v>33</v>
      </c>
      <c r="F533" s="20" t="s">
        <v>68</v>
      </c>
      <c r="G533" s="64"/>
      <c r="H533" s="64"/>
      <c r="I533" s="20">
        <v>290.0</v>
      </c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</row>
    <row r="534">
      <c r="A534" s="20">
        <v>2026.0</v>
      </c>
      <c r="B534" s="20">
        <v>2.0</v>
      </c>
      <c r="C534" s="52" t="s">
        <v>99</v>
      </c>
      <c r="D534" s="20" t="s">
        <v>83</v>
      </c>
      <c r="E534" s="20" t="s">
        <v>33</v>
      </c>
      <c r="F534" s="20" t="s">
        <v>68</v>
      </c>
      <c r="G534" s="64"/>
      <c r="H534" s="64"/>
      <c r="I534" s="20">
        <v>290.0</v>
      </c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</row>
    <row r="535">
      <c r="A535" s="20">
        <v>2026.0</v>
      </c>
      <c r="B535" s="20">
        <v>3.0</v>
      </c>
      <c r="C535" s="52" t="s">
        <v>99</v>
      </c>
      <c r="D535" s="20" t="s">
        <v>83</v>
      </c>
      <c r="E535" s="20" t="s">
        <v>33</v>
      </c>
      <c r="F535" s="20" t="s">
        <v>68</v>
      </c>
      <c r="G535" s="64"/>
      <c r="H535" s="64"/>
      <c r="I535" s="20">
        <v>290.0</v>
      </c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</row>
    <row r="536">
      <c r="A536" s="20">
        <v>2026.0</v>
      </c>
      <c r="B536" s="20">
        <v>3.0</v>
      </c>
      <c r="C536" s="52" t="s">
        <v>102</v>
      </c>
      <c r="D536" s="20" t="s">
        <v>103</v>
      </c>
      <c r="E536" s="20" t="s">
        <v>37</v>
      </c>
      <c r="F536" s="20" t="s">
        <v>68</v>
      </c>
      <c r="G536" s="64"/>
      <c r="H536" s="64"/>
      <c r="I536" s="20">
        <v>168.39</v>
      </c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</row>
    <row r="537">
      <c r="A537" s="20">
        <v>2026.0</v>
      </c>
      <c r="B537" s="20">
        <v>3.0</v>
      </c>
      <c r="C537" s="52" t="s">
        <v>104</v>
      </c>
      <c r="D537" s="20" t="s">
        <v>105</v>
      </c>
      <c r="E537" s="20" t="s">
        <v>41</v>
      </c>
      <c r="F537" s="20" t="s">
        <v>68</v>
      </c>
      <c r="G537" s="64"/>
      <c r="H537" s="64"/>
      <c r="I537" s="20">
        <v>290.0</v>
      </c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</row>
    <row r="538">
      <c r="A538" s="20">
        <v>2026.0</v>
      </c>
      <c r="B538" s="20">
        <v>1.0</v>
      </c>
      <c r="C538" s="52" t="s">
        <v>196</v>
      </c>
      <c r="D538" s="20" t="s">
        <v>197</v>
      </c>
      <c r="E538" s="20" t="s">
        <v>43</v>
      </c>
      <c r="F538" s="20" t="s">
        <v>68</v>
      </c>
      <c r="G538" s="64"/>
      <c r="H538" s="64"/>
      <c r="I538" s="20">
        <v>112.26</v>
      </c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</row>
    <row r="539">
      <c r="A539" s="20">
        <v>2026.0</v>
      </c>
      <c r="B539" s="20">
        <v>2.0</v>
      </c>
      <c r="C539" s="52" t="s">
        <v>196</v>
      </c>
      <c r="D539" s="20" t="s">
        <v>197</v>
      </c>
      <c r="E539" s="20" t="s">
        <v>43</v>
      </c>
      <c r="F539" s="20" t="s">
        <v>68</v>
      </c>
      <c r="G539" s="64"/>
      <c r="H539" s="64"/>
      <c r="I539" s="20">
        <v>290.0</v>
      </c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</row>
    <row r="540">
      <c r="A540" s="20">
        <v>2026.0</v>
      </c>
      <c r="B540" s="20">
        <v>3.0</v>
      </c>
      <c r="C540" s="52" t="s">
        <v>196</v>
      </c>
      <c r="D540" s="20" t="s">
        <v>197</v>
      </c>
      <c r="E540" s="20" t="s">
        <v>43</v>
      </c>
      <c r="F540" s="20" t="s">
        <v>68</v>
      </c>
      <c r="G540" s="64"/>
      <c r="H540" s="64"/>
      <c r="I540" s="20">
        <v>290.0</v>
      </c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</row>
    <row r="541">
      <c r="A541" s="66">
        <v>2025.0</v>
      </c>
      <c r="B541" s="66">
        <v>7.0</v>
      </c>
      <c r="C541" s="67" t="s">
        <v>167</v>
      </c>
      <c r="D541" s="68" t="s">
        <v>168</v>
      </c>
      <c r="E541" s="69" t="s">
        <v>43</v>
      </c>
      <c r="F541" s="68" t="s">
        <v>61</v>
      </c>
      <c r="G541" s="66">
        <v>1.0</v>
      </c>
      <c r="H541" s="20">
        <v>6.1</v>
      </c>
      <c r="I541" s="70">
        <f t="shared" ref="I541:I556" si="4">G541*H541</f>
        <v>6.1</v>
      </c>
    </row>
    <row r="542">
      <c r="A542" s="66">
        <v>2025.0</v>
      </c>
      <c r="B542" s="66">
        <v>8.0</v>
      </c>
      <c r="C542" s="67" t="s">
        <v>167</v>
      </c>
      <c r="D542" s="68" t="s">
        <v>168</v>
      </c>
      <c r="E542" s="69" t="s">
        <v>43</v>
      </c>
      <c r="F542" s="68" t="s">
        <v>61</v>
      </c>
      <c r="G542" s="66">
        <v>13.0</v>
      </c>
      <c r="H542" s="20">
        <v>6.1</v>
      </c>
      <c r="I542" s="70">
        <f t="shared" si="4"/>
        <v>79.3</v>
      </c>
    </row>
    <row r="543">
      <c r="A543" s="66">
        <v>2025.0</v>
      </c>
      <c r="B543" s="66">
        <v>9.0</v>
      </c>
      <c r="C543" s="67" t="s">
        <v>167</v>
      </c>
      <c r="D543" s="68" t="s">
        <v>168</v>
      </c>
      <c r="E543" s="69" t="s">
        <v>43</v>
      </c>
      <c r="F543" s="68" t="s">
        <v>61</v>
      </c>
      <c r="G543" s="66">
        <v>18.5</v>
      </c>
      <c r="H543" s="20">
        <v>6.1</v>
      </c>
      <c r="I543" s="70">
        <f t="shared" si="4"/>
        <v>112.85</v>
      </c>
    </row>
    <row r="544">
      <c r="A544" s="66">
        <v>2025.0</v>
      </c>
      <c r="B544" s="66">
        <v>10.0</v>
      </c>
      <c r="C544" s="67" t="s">
        <v>167</v>
      </c>
      <c r="D544" s="68" t="s">
        <v>168</v>
      </c>
      <c r="E544" s="69" t="s">
        <v>43</v>
      </c>
      <c r="F544" s="68" t="s">
        <v>61</v>
      </c>
      <c r="G544" s="66">
        <v>3.5</v>
      </c>
      <c r="H544" s="20">
        <v>6.1</v>
      </c>
      <c r="I544" s="70">
        <f t="shared" si="4"/>
        <v>21.35</v>
      </c>
    </row>
    <row r="545">
      <c r="A545" s="66">
        <v>2025.0</v>
      </c>
      <c r="B545" s="66">
        <v>10.0</v>
      </c>
      <c r="C545" s="67" t="s">
        <v>167</v>
      </c>
      <c r="D545" s="68" t="s">
        <v>168</v>
      </c>
      <c r="E545" s="69" t="s">
        <v>43</v>
      </c>
      <c r="F545" s="68" t="s">
        <v>61</v>
      </c>
      <c r="G545" s="66">
        <v>15.5</v>
      </c>
      <c r="H545" s="20">
        <v>6.1</v>
      </c>
      <c r="I545" s="70">
        <f t="shared" si="4"/>
        <v>94.55</v>
      </c>
    </row>
    <row r="546">
      <c r="A546" s="66">
        <v>2025.0</v>
      </c>
      <c r="B546" s="66">
        <v>11.0</v>
      </c>
      <c r="C546" s="67" t="s">
        <v>167</v>
      </c>
      <c r="D546" s="68" t="s">
        <v>168</v>
      </c>
      <c r="E546" s="69" t="s">
        <v>43</v>
      </c>
      <c r="F546" s="68" t="s">
        <v>61</v>
      </c>
      <c r="G546" s="66">
        <v>17.0</v>
      </c>
      <c r="H546" s="20">
        <v>6.1</v>
      </c>
      <c r="I546" s="70">
        <f t="shared" si="4"/>
        <v>103.7</v>
      </c>
    </row>
    <row r="547">
      <c r="A547" s="66">
        <v>2025.0</v>
      </c>
      <c r="B547" s="66">
        <v>12.0</v>
      </c>
      <c r="C547" s="67" t="s">
        <v>167</v>
      </c>
      <c r="D547" s="68" t="s">
        <v>168</v>
      </c>
      <c r="E547" s="69" t="s">
        <v>43</v>
      </c>
      <c r="F547" s="68" t="s">
        <v>61</v>
      </c>
      <c r="G547" s="66">
        <v>2.0</v>
      </c>
      <c r="H547" s="20">
        <v>6.1</v>
      </c>
      <c r="I547" s="70">
        <f t="shared" si="4"/>
        <v>12.2</v>
      </c>
    </row>
    <row r="548">
      <c r="A548" s="66">
        <v>2025.0</v>
      </c>
      <c r="B548" s="66">
        <v>12.0</v>
      </c>
      <c r="C548" s="67" t="s">
        <v>167</v>
      </c>
      <c r="D548" s="68" t="s">
        <v>168</v>
      </c>
      <c r="E548" s="69" t="s">
        <v>43</v>
      </c>
      <c r="F548" s="68" t="s">
        <v>61</v>
      </c>
      <c r="G548" s="66">
        <v>13.5</v>
      </c>
      <c r="H548" s="20">
        <v>6.1</v>
      </c>
      <c r="I548" s="70">
        <f t="shared" si="4"/>
        <v>82.35</v>
      </c>
    </row>
    <row r="549">
      <c r="A549" s="66">
        <v>2025.0</v>
      </c>
      <c r="B549" s="66">
        <v>7.0</v>
      </c>
      <c r="C549" s="67" t="s">
        <v>167</v>
      </c>
      <c r="D549" s="68" t="s">
        <v>168</v>
      </c>
      <c r="E549" s="69" t="s">
        <v>15</v>
      </c>
      <c r="F549" s="68" t="s">
        <v>61</v>
      </c>
      <c r="G549" s="66">
        <v>1.0</v>
      </c>
      <c r="H549" s="20">
        <v>-6.1</v>
      </c>
      <c r="I549" s="70">
        <f t="shared" si="4"/>
        <v>-6.1</v>
      </c>
    </row>
    <row r="550">
      <c r="A550" s="66">
        <v>2025.0</v>
      </c>
      <c r="B550" s="66">
        <v>8.0</v>
      </c>
      <c r="C550" s="67" t="s">
        <v>167</v>
      </c>
      <c r="D550" s="68" t="s">
        <v>168</v>
      </c>
      <c r="E550" s="69" t="s">
        <v>15</v>
      </c>
      <c r="F550" s="68" t="s">
        <v>61</v>
      </c>
      <c r="G550" s="66">
        <v>13.0</v>
      </c>
      <c r="H550" s="20">
        <v>-6.1</v>
      </c>
      <c r="I550" s="70">
        <f t="shared" si="4"/>
        <v>-79.3</v>
      </c>
    </row>
    <row r="551">
      <c r="A551" s="66">
        <v>2025.0</v>
      </c>
      <c r="B551" s="66">
        <v>9.0</v>
      </c>
      <c r="C551" s="67" t="s">
        <v>167</v>
      </c>
      <c r="D551" s="68" t="s">
        <v>168</v>
      </c>
      <c r="E551" s="69" t="s">
        <v>15</v>
      </c>
      <c r="F551" s="68" t="s">
        <v>61</v>
      </c>
      <c r="G551" s="66">
        <v>18.5</v>
      </c>
      <c r="H551" s="20">
        <v>-6.1</v>
      </c>
      <c r="I551" s="70">
        <f t="shared" si="4"/>
        <v>-112.85</v>
      </c>
    </row>
    <row r="552">
      <c r="A552" s="66">
        <v>2025.0</v>
      </c>
      <c r="B552" s="66">
        <v>10.0</v>
      </c>
      <c r="C552" s="67" t="s">
        <v>167</v>
      </c>
      <c r="D552" s="68" t="s">
        <v>168</v>
      </c>
      <c r="E552" s="69" t="s">
        <v>15</v>
      </c>
      <c r="F552" s="68" t="s">
        <v>61</v>
      </c>
      <c r="G552" s="66">
        <v>3.5</v>
      </c>
      <c r="H552" s="20">
        <v>-6.1</v>
      </c>
      <c r="I552" s="70">
        <f t="shared" si="4"/>
        <v>-21.35</v>
      </c>
    </row>
    <row r="553">
      <c r="A553" s="66">
        <v>2025.0</v>
      </c>
      <c r="B553" s="66">
        <v>10.0</v>
      </c>
      <c r="C553" s="67" t="s">
        <v>167</v>
      </c>
      <c r="D553" s="68" t="s">
        <v>168</v>
      </c>
      <c r="E553" s="69" t="s">
        <v>15</v>
      </c>
      <c r="F553" s="68" t="s">
        <v>61</v>
      </c>
      <c r="G553" s="66">
        <v>15.5</v>
      </c>
      <c r="H553" s="20">
        <v>-6.1</v>
      </c>
      <c r="I553" s="70">
        <f t="shared" si="4"/>
        <v>-94.55</v>
      </c>
    </row>
    <row r="554">
      <c r="A554" s="66">
        <v>2025.0</v>
      </c>
      <c r="B554" s="66">
        <v>11.0</v>
      </c>
      <c r="C554" s="67" t="s">
        <v>167</v>
      </c>
      <c r="D554" s="68" t="s">
        <v>168</v>
      </c>
      <c r="E554" s="69" t="s">
        <v>15</v>
      </c>
      <c r="F554" s="68" t="s">
        <v>61</v>
      </c>
      <c r="G554" s="66">
        <v>17.0</v>
      </c>
      <c r="H554" s="20">
        <v>-6.1</v>
      </c>
      <c r="I554" s="70">
        <f t="shared" si="4"/>
        <v>-103.7</v>
      </c>
    </row>
    <row r="555">
      <c r="A555" s="66">
        <v>2025.0</v>
      </c>
      <c r="B555" s="66">
        <v>12.0</v>
      </c>
      <c r="C555" s="67" t="s">
        <v>167</v>
      </c>
      <c r="D555" s="68" t="s">
        <v>168</v>
      </c>
      <c r="E555" s="69" t="s">
        <v>15</v>
      </c>
      <c r="F555" s="68" t="s">
        <v>61</v>
      </c>
      <c r="G555" s="66">
        <v>2.0</v>
      </c>
      <c r="H555" s="20">
        <v>-6.1</v>
      </c>
      <c r="I555" s="70">
        <f t="shared" si="4"/>
        <v>-12.2</v>
      </c>
    </row>
    <row r="556">
      <c r="A556" s="66">
        <v>2025.0</v>
      </c>
      <c r="B556" s="66">
        <v>12.0</v>
      </c>
      <c r="C556" s="67" t="s">
        <v>167</v>
      </c>
      <c r="D556" s="68" t="s">
        <v>168</v>
      </c>
      <c r="E556" s="69" t="s">
        <v>15</v>
      </c>
      <c r="F556" s="68" t="s">
        <v>61</v>
      </c>
      <c r="G556" s="66">
        <v>13.5</v>
      </c>
      <c r="H556" s="20">
        <v>-6.1</v>
      </c>
      <c r="I556" s="70">
        <f t="shared" si="4"/>
        <v>-82.35</v>
      </c>
    </row>
    <row r="557">
      <c r="C557" s="71"/>
    </row>
    <row r="558">
      <c r="C558" s="71"/>
    </row>
    <row r="559">
      <c r="C559" s="71"/>
    </row>
    <row r="560">
      <c r="C560" s="71"/>
    </row>
    <row r="561">
      <c r="C561" s="71"/>
    </row>
    <row r="562">
      <c r="C562" s="71"/>
    </row>
    <row r="563">
      <c r="C563" s="71"/>
    </row>
    <row r="564">
      <c r="C564" s="71"/>
    </row>
    <row r="565">
      <c r="C565" s="71"/>
    </row>
    <row r="566">
      <c r="C566" s="71"/>
    </row>
    <row r="567">
      <c r="C567" s="71"/>
    </row>
    <row r="568">
      <c r="C568" s="71"/>
    </row>
    <row r="569">
      <c r="C569" s="71"/>
    </row>
    <row r="570">
      <c r="C570" s="71"/>
    </row>
    <row r="571">
      <c r="C571" s="71"/>
    </row>
    <row r="572">
      <c r="C572" s="71"/>
    </row>
    <row r="573">
      <c r="C573" s="71"/>
    </row>
    <row r="574">
      <c r="C574" s="71"/>
    </row>
    <row r="575">
      <c r="C575" s="71"/>
    </row>
    <row r="576">
      <c r="C576" s="71"/>
    </row>
    <row r="577">
      <c r="C577" s="71"/>
    </row>
    <row r="578">
      <c r="C578" s="71"/>
    </row>
    <row r="579">
      <c r="C579" s="71"/>
    </row>
    <row r="580">
      <c r="C580" s="71"/>
    </row>
    <row r="581">
      <c r="C581" s="71"/>
    </row>
    <row r="582">
      <c r="C582" s="71"/>
    </row>
    <row r="583">
      <c r="C583" s="71"/>
    </row>
    <row r="584">
      <c r="C584" s="71"/>
    </row>
    <row r="585">
      <c r="C585" s="71"/>
    </row>
    <row r="586">
      <c r="C586" s="71"/>
    </row>
    <row r="587">
      <c r="C587" s="71"/>
    </row>
    <row r="588">
      <c r="C588" s="71"/>
    </row>
    <row r="589">
      <c r="C589" s="71"/>
    </row>
    <row r="590">
      <c r="C590" s="71"/>
    </row>
    <row r="591">
      <c r="C591" s="71"/>
    </row>
    <row r="592">
      <c r="C592" s="71"/>
    </row>
    <row r="593">
      <c r="C593" s="71"/>
    </row>
    <row r="594">
      <c r="C594" s="71"/>
    </row>
    <row r="595">
      <c r="C595" s="71"/>
    </row>
    <row r="596">
      <c r="C596" s="71"/>
    </row>
    <row r="597">
      <c r="C597" s="71"/>
    </row>
    <row r="598">
      <c r="C598" s="71"/>
    </row>
    <row r="599">
      <c r="A599" s="44"/>
      <c r="B599" s="44"/>
      <c r="C599" s="71"/>
      <c r="D599" s="44"/>
      <c r="E599" s="44"/>
      <c r="F599" s="44"/>
      <c r="G599" s="44"/>
      <c r="H599" s="44"/>
      <c r="I599" s="44"/>
    </row>
    <row r="600">
      <c r="A600" s="44"/>
      <c r="B600" s="44"/>
      <c r="C600" s="71"/>
      <c r="D600" s="44"/>
      <c r="E600" s="44"/>
      <c r="F600" s="44"/>
      <c r="G600" s="44"/>
      <c r="H600" s="44"/>
      <c r="I600" s="44"/>
    </row>
    <row r="601">
      <c r="A601" s="44"/>
      <c r="B601" s="44"/>
      <c r="C601" s="71"/>
      <c r="D601" s="44"/>
      <c r="E601" s="44"/>
      <c r="F601" s="44"/>
      <c r="G601" s="44"/>
      <c r="H601" s="44"/>
      <c r="I601" s="44"/>
    </row>
    <row r="602">
      <c r="A602" s="44"/>
      <c r="B602" s="44"/>
      <c r="C602" s="71"/>
      <c r="D602" s="44"/>
      <c r="E602" s="44"/>
      <c r="F602" s="44"/>
      <c r="G602" s="44"/>
      <c r="H602" s="44"/>
      <c r="I602" s="44"/>
    </row>
    <row r="603">
      <c r="A603" s="44"/>
      <c r="B603" s="44"/>
      <c r="C603" s="71"/>
      <c r="D603" s="44"/>
      <c r="E603" s="44"/>
      <c r="F603" s="44"/>
      <c r="G603" s="44"/>
      <c r="H603" s="44"/>
      <c r="I603" s="44"/>
    </row>
    <row r="604">
      <c r="A604" s="44"/>
      <c r="B604" s="44"/>
      <c r="C604" s="71"/>
      <c r="D604" s="44"/>
      <c r="E604" s="44"/>
      <c r="F604" s="44"/>
      <c r="G604" s="44"/>
      <c r="H604" s="44"/>
      <c r="I604" s="44"/>
    </row>
    <row r="605">
      <c r="A605" s="44"/>
      <c r="B605" s="44"/>
      <c r="C605" s="71"/>
      <c r="D605" s="44"/>
      <c r="E605" s="44"/>
      <c r="F605" s="44"/>
      <c r="G605" s="44"/>
      <c r="H605" s="44"/>
      <c r="I605" s="44"/>
    </row>
    <row r="606">
      <c r="A606" s="44"/>
      <c r="B606" s="44"/>
      <c r="C606" s="71"/>
      <c r="D606" s="44"/>
      <c r="E606" s="44"/>
      <c r="F606" s="44"/>
      <c r="G606" s="44"/>
      <c r="H606" s="44"/>
      <c r="I606" s="44"/>
    </row>
    <row r="607">
      <c r="A607" s="44"/>
      <c r="B607" s="44"/>
      <c r="C607" s="71"/>
      <c r="D607" s="44"/>
      <c r="E607" s="44"/>
      <c r="F607" s="44"/>
      <c r="G607" s="44"/>
      <c r="H607" s="44"/>
      <c r="I607" s="44"/>
    </row>
    <row r="608">
      <c r="A608" s="44"/>
      <c r="B608" s="44"/>
      <c r="C608" s="71"/>
      <c r="D608" s="44"/>
      <c r="E608" s="44"/>
      <c r="F608" s="44"/>
      <c r="G608" s="44"/>
      <c r="H608" s="44"/>
      <c r="I608" s="44"/>
    </row>
    <row r="609">
      <c r="A609" s="44"/>
      <c r="B609" s="44"/>
      <c r="C609" s="71"/>
      <c r="D609" s="44"/>
      <c r="E609" s="44"/>
      <c r="F609" s="44"/>
      <c r="G609" s="44"/>
      <c r="H609" s="44"/>
      <c r="I609" s="44"/>
    </row>
    <row r="610">
      <c r="A610" s="44"/>
      <c r="B610" s="44"/>
      <c r="C610" s="71"/>
      <c r="D610" s="44"/>
      <c r="E610" s="44"/>
      <c r="F610" s="44"/>
      <c r="G610" s="44"/>
      <c r="H610" s="44"/>
      <c r="I610" s="44"/>
    </row>
    <row r="611">
      <c r="A611" s="44"/>
      <c r="B611" s="44"/>
      <c r="C611" s="71"/>
      <c r="D611" s="44"/>
      <c r="E611" s="44"/>
      <c r="F611" s="44"/>
      <c r="G611" s="44"/>
      <c r="H611" s="44"/>
      <c r="I611" s="44"/>
    </row>
    <row r="612">
      <c r="A612" s="44"/>
      <c r="B612" s="44"/>
      <c r="C612" s="71"/>
      <c r="D612" s="44"/>
      <c r="E612" s="44"/>
      <c r="F612" s="44"/>
      <c r="G612" s="44"/>
      <c r="H612" s="44"/>
      <c r="I612" s="44"/>
    </row>
    <row r="613">
      <c r="A613" s="44"/>
      <c r="B613" s="44"/>
      <c r="C613" s="71"/>
      <c r="D613" s="44"/>
      <c r="E613" s="44"/>
      <c r="F613" s="44"/>
      <c r="G613" s="44"/>
      <c r="H613" s="44"/>
      <c r="I613" s="44"/>
    </row>
    <row r="614">
      <c r="A614" s="44"/>
      <c r="B614" s="44"/>
      <c r="C614" s="71"/>
      <c r="D614" s="44"/>
      <c r="E614" s="44"/>
      <c r="F614" s="44"/>
      <c r="G614" s="44"/>
      <c r="H614" s="44"/>
      <c r="I614" s="44"/>
    </row>
    <row r="615">
      <c r="A615" s="44"/>
      <c r="B615" s="44"/>
      <c r="C615" s="71"/>
      <c r="D615" s="44"/>
      <c r="E615" s="44"/>
      <c r="F615" s="44"/>
      <c r="G615" s="44"/>
      <c r="H615" s="44"/>
      <c r="I615" s="44"/>
    </row>
    <row r="616">
      <c r="A616" s="44"/>
      <c r="B616" s="44"/>
      <c r="C616" s="71"/>
      <c r="D616" s="44"/>
      <c r="E616" s="44"/>
      <c r="F616" s="44"/>
      <c r="G616" s="44"/>
      <c r="H616" s="44"/>
      <c r="I616" s="44"/>
    </row>
    <row r="617">
      <c r="A617" s="44"/>
      <c r="B617" s="44"/>
      <c r="C617" s="71"/>
      <c r="D617" s="44"/>
      <c r="E617" s="44"/>
      <c r="F617" s="44"/>
      <c r="G617" s="44"/>
      <c r="H617" s="44"/>
      <c r="I617" s="44"/>
    </row>
    <row r="618">
      <c r="A618" s="44"/>
      <c r="B618" s="44"/>
      <c r="C618" s="71"/>
      <c r="D618" s="44"/>
      <c r="E618" s="44"/>
      <c r="F618" s="44"/>
      <c r="G618" s="44"/>
      <c r="H618" s="44"/>
      <c r="I618" s="44"/>
    </row>
    <row r="619">
      <c r="A619" s="44"/>
      <c r="B619" s="44"/>
      <c r="C619" s="71"/>
      <c r="D619" s="44"/>
      <c r="E619" s="44"/>
      <c r="F619" s="44"/>
      <c r="G619" s="44"/>
      <c r="H619" s="44"/>
      <c r="I619" s="44"/>
    </row>
    <row r="620">
      <c r="A620" s="44"/>
      <c r="B620" s="44"/>
      <c r="C620" s="71"/>
      <c r="D620" s="44"/>
      <c r="E620" s="44"/>
      <c r="F620" s="44"/>
      <c r="G620" s="44"/>
      <c r="H620" s="44"/>
      <c r="I620" s="44"/>
    </row>
    <row r="621">
      <c r="A621" s="44"/>
      <c r="B621" s="44"/>
      <c r="C621" s="71"/>
      <c r="D621" s="44"/>
      <c r="E621" s="44"/>
      <c r="F621" s="44"/>
      <c r="G621" s="44"/>
      <c r="H621" s="44"/>
      <c r="I621" s="44"/>
    </row>
    <row r="622">
      <c r="A622" s="44"/>
      <c r="B622" s="44"/>
      <c r="C622" s="71"/>
      <c r="D622" s="44"/>
      <c r="E622" s="44"/>
      <c r="F622" s="44"/>
      <c r="G622" s="44"/>
      <c r="H622" s="44"/>
      <c r="I622" s="44"/>
    </row>
    <row r="623">
      <c r="A623" s="44"/>
      <c r="B623" s="44"/>
      <c r="C623" s="71"/>
      <c r="D623" s="44"/>
      <c r="E623" s="44"/>
      <c r="F623" s="44"/>
      <c r="G623" s="44"/>
      <c r="H623" s="44"/>
      <c r="I623" s="44"/>
    </row>
    <row r="624">
      <c r="A624" s="44"/>
      <c r="B624" s="44"/>
      <c r="C624" s="71"/>
      <c r="D624" s="44"/>
      <c r="E624" s="44"/>
      <c r="F624" s="44"/>
      <c r="G624" s="44"/>
      <c r="H624" s="44"/>
      <c r="I624" s="44"/>
    </row>
    <row r="625">
      <c r="A625" s="44"/>
      <c r="B625" s="44"/>
      <c r="C625" s="71"/>
      <c r="D625" s="44"/>
      <c r="E625" s="44"/>
      <c r="F625" s="44"/>
      <c r="G625" s="44"/>
      <c r="H625" s="44"/>
      <c r="I625" s="44"/>
    </row>
    <row r="626">
      <c r="A626" s="44"/>
      <c r="B626" s="44"/>
      <c r="C626" s="71"/>
      <c r="D626" s="44"/>
      <c r="E626" s="44"/>
      <c r="F626" s="44"/>
      <c r="G626" s="44"/>
      <c r="H626" s="44"/>
      <c r="I626" s="44"/>
    </row>
    <row r="627">
      <c r="A627" s="44"/>
      <c r="B627" s="44"/>
      <c r="C627" s="71"/>
      <c r="D627" s="44"/>
      <c r="E627" s="44"/>
      <c r="F627" s="44"/>
      <c r="G627" s="44"/>
      <c r="H627" s="44"/>
      <c r="I627" s="44"/>
    </row>
    <row r="628">
      <c r="A628" s="44"/>
      <c r="B628" s="44"/>
      <c r="C628" s="71"/>
      <c r="D628" s="44"/>
      <c r="E628" s="44"/>
      <c r="F628" s="44"/>
      <c r="G628" s="44"/>
      <c r="H628" s="44"/>
      <c r="I628" s="44"/>
    </row>
    <row r="629">
      <c r="A629" s="44"/>
      <c r="B629" s="44"/>
      <c r="C629" s="71"/>
      <c r="D629" s="44"/>
      <c r="E629" s="44"/>
      <c r="F629" s="44"/>
      <c r="G629" s="44"/>
      <c r="H629" s="44"/>
      <c r="I629" s="44"/>
    </row>
    <row r="630">
      <c r="A630" s="44"/>
      <c r="B630" s="44"/>
      <c r="C630" s="71"/>
      <c r="D630" s="44"/>
      <c r="E630" s="44"/>
      <c r="F630" s="44"/>
      <c r="G630" s="44"/>
      <c r="H630" s="44"/>
      <c r="I630" s="44"/>
    </row>
    <row r="631">
      <c r="A631" s="44"/>
      <c r="B631" s="44"/>
      <c r="C631" s="71"/>
      <c r="D631" s="44"/>
      <c r="E631" s="44"/>
      <c r="F631" s="44"/>
      <c r="G631" s="44"/>
      <c r="H631" s="44"/>
      <c r="I631" s="44"/>
    </row>
    <row r="632">
      <c r="A632" s="44"/>
      <c r="B632" s="44"/>
      <c r="C632" s="71"/>
      <c r="D632" s="44"/>
      <c r="E632" s="44"/>
      <c r="F632" s="44"/>
      <c r="G632" s="44"/>
      <c r="H632" s="44"/>
      <c r="I632" s="44"/>
    </row>
    <row r="633">
      <c r="A633" s="44"/>
      <c r="B633" s="44"/>
      <c r="C633" s="71"/>
      <c r="D633" s="44"/>
      <c r="E633" s="44"/>
      <c r="F633" s="44"/>
      <c r="G633" s="44"/>
      <c r="H633" s="44"/>
      <c r="I633" s="44"/>
    </row>
    <row r="634">
      <c r="A634" s="44"/>
      <c r="B634" s="44"/>
      <c r="C634" s="71"/>
      <c r="D634" s="44"/>
      <c r="E634" s="44"/>
      <c r="F634" s="44"/>
      <c r="G634" s="44"/>
      <c r="H634" s="44"/>
      <c r="I634" s="44"/>
    </row>
    <row r="635">
      <c r="A635" s="44"/>
      <c r="B635" s="44"/>
      <c r="C635" s="71"/>
      <c r="D635" s="44"/>
      <c r="E635" s="44"/>
      <c r="F635" s="44"/>
      <c r="G635" s="44"/>
      <c r="H635" s="44"/>
      <c r="I635" s="44"/>
    </row>
    <row r="636">
      <c r="A636" s="44"/>
      <c r="B636" s="44"/>
      <c r="C636" s="71"/>
      <c r="D636" s="44"/>
      <c r="E636" s="44"/>
      <c r="F636" s="44"/>
      <c r="G636" s="44"/>
      <c r="H636" s="44"/>
      <c r="I636" s="44"/>
    </row>
    <row r="637">
      <c r="A637" s="44"/>
      <c r="B637" s="44"/>
      <c r="C637" s="71"/>
      <c r="D637" s="44"/>
      <c r="E637" s="44"/>
      <c r="F637" s="44"/>
      <c r="G637" s="44"/>
      <c r="H637" s="44"/>
      <c r="I637" s="44"/>
    </row>
    <row r="638">
      <c r="A638" s="44"/>
      <c r="B638" s="44"/>
      <c r="C638" s="71"/>
      <c r="D638" s="44"/>
      <c r="E638" s="44"/>
      <c r="F638" s="44"/>
      <c r="G638" s="44"/>
      <c r="H638" s="44"/>
      <c r="I638" s="44"/>
    </row>
    <row r="639">
      <c r="A639" s="44"/>
      <c r="B639" s="44"/>
      <c r="C639" s="71"/>
      <c r="D639" s="44"/>
      <c r="E639" s="44"/>
      <c r="F639" s="44"/>
      <c r="G639" s="44"/>
      <c r="H639" s="44"/>
      <c r="I639" s="44"/>
    </row>
    <row r="640">
      <c r="A640" s="44"/>
      <c r="B640" s="44"/>
      <c r="C640" s="71"/>
      <c r="D640" s="44"/>
      <c r="E640" s="44"/>
      <c r="F640" s="44"/>
      <c r="G640" s="44"/>
      <c r="H640" s="44"/>
      <c r="I640" s="44"/>
    </row>
    <row r="641">
      <c r="A641" s="44"/>
      <c r="B641" s="44"/>
      <c r="C641" s="71"/>
      <c r="D641" s="44"/>
      <c r="E641" s="44"/>
      <c r="F641" s="44"/>
      <c r="G641" s="44"/>
      <c r="H641" s="44"/>
      <c r="I641" s="44"/>
    </row>
    <row r="642">
      <c r="A642" s="44"/>
      <c r="B642" s="44"/>
      <c r="C642" s="71"/>
      <c r="D642" s="44"/>
      <c r="E642" s="44"/>
      <c r="F642" s="44"/>
      <c r="G642" s="44"/>
      <c r="H642" s="44"/>
      <c r="I642" s="44"/>
    </row>
    <row r="643">
      <c r="A643" s="44"/>
      <c r="B643" s="44"/>
      <c r="C643" s="71"/>
      <c r="D643" s="44"/>
      <c r="E643" s="44"/>
      <c r="F643" s="44"/>
      <c r="G643" s="44"/>
      <c r="H643" s="44"/>
      <c r="I643" s="44"/>
    </row>
    <row r="644">
      <c r="A644" s="44"/>
      <c r="B644" s="44"/>
      <c r="C644" s="71"/>
      <c r="D644" s="44"/>
      <c r="E644" s="44"/>
      <c r="F644" s="44"/>
      <c r="G644" s="44"/>
      <c r="H644" s="44"/>
      <c r="I644" s="44"/>
    </row>
    <row r="645">
      <c r="A645" s="44"/>
      <c r="B645" s="44"/>
      <c r="C645" s="71"/>
      <c r="D645" s="44"/>
      <c r="E645" s="44"/>
      <c r="F645" s="44"/>
      <c r="G645" s="44"/>
      <c r="H645" s="44"/>
      <c r="I645" s="44"/>
    </row>
    <row r="646">
      <c r="A646" s="44"/>
      <c r="B646" s="44"/>
      <c r="C646" s="71"/>
      <c r="D646" s="44"/>
      <c r="E646" s="44"/>
      <c r="F646" s="44"/>
      <c r="G646" s="44"/>
      <c r="H646" s="44"/>
      <c r="I646" s="44"/>
    </row>
    <row r="647">
      <c r="A647" s="44"/>
      <c r="B647" s="44"/>
      <c r="C647" s="71"/>
      <c r="D647" s="44"/>
      <c r="E647" s="44"/>
      <c r="F647" s="44"/>
      <c r="G647" s="44"/>
      <c r="H647" s="44"/>
      <c r="I647" s="44"/>
    </row>
    <row r="648">
      <c r="A648" s="44"/>
      <c r="B648" s="44"/>
      <c r="C648" s="71"/>
      <c r="D648" s="44"/>
      <c r="E648" s="44"/>
      <c r="F648" s="44"/>
      <c r="G648" s="44"/>
      <c r="H648" s="44"/>
      <c r="I648" s="44"/>
    </row>
    <row r="649">
      <c r="A649" s="44"/>
      <c r="B649" s="44"/>
      <c r="C649" s="71"/>
      <c r="D649" s="44"/>
      <c r="E649" s="44"/>
      <c r="F649" s="44"/>
      <c r="G649" s="44"/>
      <c r="H649" s="44"/>
      <c r="I649" s="44"/>
    </row>
    <row r="650">
      <c r="A650" s="44"/>
      <c r="B650" s="44"/>
      <c r="C650" s="71"/>
      <c r="D650" s="44"/>
      <c r="E650" s="44"/>
      <c r="F650" s="44"/>
      <c r="G650" s="44"/>
      <c r="H650" s="44"/>
      <c r="I650" s="44"/>
    </row>
    <row r="651">
      <c r="A651" s="44"/>
      <c r="B651" s="44"/>
      <c r="C651" s="71"/>
      <c r="D651" s="44"/>
      <c r="E651" s="44"/>
      <c r="F651" s="44"/>
      <c r="G651" s="44"/>
      <c r="H651" s="44"/>
      <c r="I651" s="44"/>
    </row>
    <row r="652">
      <c r="A652" s="44"/>
      <c r="B652" s="44"/>
      <c r="C652" s="71"/>
      <c r="D652" s="44"/>
      <c r="E652" s="44"/>
      <c r="F652" s="44"/>
      <c r="G652" s="44"/>
      <c r="H652" s="44"/>
      <c r="I652" s="44"/>
    </row>
    <row r="653">
      <c r="A653" s="44"/>
      <c r="B653" s="44"/>
      <c r="C653" s="71"/>
      <c r="D653" s="44"/>
      <c r="E653" s="44"/>
      <c r="F653" s="44"/>
      <c r="G653" s="44"/>
      <c r="H653" s="44"/>
      <c r="I653" s="44"/>
    </row>
    <row r="654">
      <c r="A654" s="44"/>
      <c r="B654" s="44"/>
      <c r="C654" s="71"/>
      <c r="D654" s="44"/>
      <c r="E654" s="44"/>
      <c r="F654" s="44"/>
      <c r="G654" s="44"/>
      <c r="H654" s="44"/>
      <c r="I654" s="44"/>
    </row>
    <row r="655">
      <c r="A655" s="44"/>
      <c r="B655" s="44"/>
      <c r="C655" s="71"/>
      <c r="D655" s="44"/>
      <c r="E655" s="44"/>
      <c r="F655" s="44"/>
      <c r="G655" s="44"/>
      <c r="H655" s="44"/>
      <c r="I655" s="44"/>
    </row>
    <row r="656">
      <c r="A656" s="44"/>
      <c r="B656" s="44"/>
      <c r="C656" s="71"/>
      <c r="D656" s="44"/>
      <c r="E656" s="44"/>
      <c r="F656" s="44"/>
      <c r="G656" s="44"/>
      <c r="H656" s="44"/>
      <c r="I656" s="44"/>
    </row>
    <row r="657">
      <c r="A657" s="44"/>
      <c r="B657" s="44"/>
      <c r="C657" s="71"/>
      <c r="D657" s="44"/>
      <c r="E657" s="44"/>
      <c r="F657" s="44"/>
      <c r="G657" s="44"/>
      <c r="H657" s="44"/>
      <c r="I657" s="44"/>
    </row>
    <row r="658">
      <c r="A658" s="44"/>
      <c r="B658" s="44"/>
      <c r="C658" s="71"/>
      <c r="D658" s="44"/>
      <c r="E658" s="44"/>
      <c r="F658" s="44"/>
      <c r="G658" s="44"/>
      <c r="H658" s="44"/>
      <c r="I658" s="44"/>
    </row>
    <row r="659">
      <c r="A659" s="44"/>
      <c r="B659" s="44"/>
      <c r="C659" s="71"/>
      <c r="D659" s="44"/>
      <c r="E659" s="44"/>
      <c r="F659" s="44"/>
      <c r="G659" s="44"/>
      <c r="H659" s="44"/>
      <c r="I659" s="44"/>
    </row>
    <row r="660">
      <c r="A660" s="44"/>
      <c r="B660" s="44"/>
      <c r="C660" s="71"/>
      <c r="D660" s="44"/>
      <c r="E660" s="44"/>
      <c r="F660" s="44"/>
      <c r="G660" s="44"/>
      <c r="H660" s="44"/>
      <c r="I660" s="44"/>
    </row>
    <row r="661">
      <c r="A661" s="44"/>
      <c r="B661" s="44"/>
      <c r="C661" s="71"/>
      <c r="D661" s="44"/>
      <c r="E661" s="44"/>
      <c r="F661" s="44"/>
      <c r="G661" s="44"/>
      <c r="H661" s="44"/>
      <c r="I661" s="44"/>
    </row>
    <row r="662">
      <c r="A662" s="44"/>
      <c r="B662" s="44"/>
      <c r="C662" s="71"/>
      <c r="D662" s="44"/>
      <c r="E662" s="44"/>
      <c r="F662" s="44"/>
      <c r="G662" s="44"/>
      <c r="H662" s="44"/>
      <c r="I662" s="44"/>
    </row>
    <row r="663">
      <c r="A663" s="44"/>
      <c r="B663" s="44"/>
      <c r="C663" s="71"/>
      <c r="D663" s="44"/>
      <c r="E663" s="44"/>
      <c r="F663" s="44"/>
      <c r="G663" s="44"/>
      <c r="H663" s="44"/>
      <c r="I663" s="44"/>
    </row>
    <row r="664">
      <c r="A664" s="44"/>
      <c r="B664" s="44"/>
      <c r="C664" s="71"/>
      <c r="D664" s="44"/>
      <c r="E664" s="44"/>
      <c r="F664" s="44"/>
      <c r="G664" s="44"/>
      <c r="H664" s="44"/>
      <c r="I664" s="44"/>
    </row>
    <row r="665">
      <c r="A665" s="44"/>
      <c r="B665" s="44"/>
      <c r="C665" s="71"/>
      <c r="D665" s="44"/>
      <c r="E665" s="44"/>
      <c r="F665" s="44"/>
      <c r="G665" s="44"/>
      <c r="H665" s="44"/>
      <c r="I665" s="44"/>
    </row>
    <row r="666">
      <c r="A666" s="44"/>
      <c r="B666" s="44"/>
      <c r="C666" s="71"/>
      <c r="D666" s="44"/>
      <c r="E666" s="44"/>
      <c r="F666" s="44"/>
      <c r="G666" s="44"/>
      <c r="H666" s="44"/>
      <c r="I666" s="44"/>
    </row>
    <row r="667">
      <c r="A667" s="44"/>
      <c r="B667" s="44"/>
      <c r="C667" s="71"/>
      <c r="D667" s="44"/>
      <c r="E667" s="44"/>
      <c r="F667" s="44"/>
      <c r="G667" s="44"/>
      <c r="H667" s="44"/>
      <c r="I667" s="44"/>
    </row>
    <row r="668">
      <c r="A668" s="44"/>
      <c r="B668" s="44"/>
      <c r="C668" s="71"/>
      <c r="D668" s="44"/>
      <c r="E668" s="44"/>
      <c r="F668" s="44"/>
      <c r="G668" s="44"/>
      <c r="H668" s="44"/>
      <c r="I668" s="44"/>
    </row>
    <row r="669">
      <c r="A669" s="44"/>
      <c r="B669" s="44"/>
      <c r="C669" s="71"/>
      <c r="D669" s="44"/>
      <c r="E669" s="44"/>
      <c r="F669" s="44"/>
      <c r="G669" s="44"/>
      <c r="H669" s="44"/>
      <c r="I669" s="44"/>
    </row>
    <row r="670">
      <c r="A670" s="44"/>
      <c r="B670" s="44"/>
      <c r="C670" s="71"/>
      <c r="D670" s="44"/>
      <c r="E670" s="44"/>
      <c r="F670" s="44"/>
      <c r="G670" s="44"/>
      <c r="H670" s="44"/>
      <c r="I670" s="44"/>
    </row>
    <row r="671">
      <c r="A671" s="44"/>
      <c r="B671" s="44"/>
      <c r="C671" s="71"/>
      <c r="D671" s="44"/>
      <c r="E671" s="44"/>
      <c r="F671" s="44"/>
      <c r="G671" s="44"/>
      <c r="H671" s="44"/>
      <c r="I671" s="44"/>
    </row>
    <row r="672">
      <c r="A672" s="44"/>
      <c r="B672" s="44"/>
      <c r="C672" s="71"/>
      <c r="D672" s="44"/>
      <c r="E672" s="44"/>
      <c r="F672" s="44"/>
      <c r="G672" s="44"/>
      <c r="H672" s="44"/>
      <c r="I672" s="44"/>
    </row>
    <row r="673">
      <c r="A673" s="44"/>
      <c r="B673" s="44"/>
      <c r="C673" s="71"/>
      <c r="D673" s="44"/>
      <c r="E673" s="44"/>
      <c r="F673" s="44"/>
      <c r="G673" s="44"/>
      <c r="H673" s="44"/>
      <c r="I673" s="44"/>
    </row>
    <row r="674">
      <c r="A674" s="44"/>
      <c r="B674" s="44"/>
      <c r="C674" s="71"/>
      <c r="D674" s="44"/>
      <c r="E674" s="44"/>
      <c r="F674" s="44"/>
      <c r="G674" s="44"/>
      <c r="H674" s="44"/>
      <c r="I674" s="44"/>
    </row>
    <row r="675">
      <c r="A675" s="44"/>
      <c r="B675" s="44"/>
      <c r="C675" s="71"/>
      <c r="D675" s="44"/>
      <c r="E675" s="44"/>
      <c r="F675" s="44"/>
      <c r="G675" s="44"/>
      <c r="H675" s="44"/>
      <c r="I675" s="44"/>
    </row>
    <row r="676">
      <c r="A676" s="44"/>
      <c r="B676" s="44"/>
      <c r="C676" s="71"/>
      <c r="D676" s="44"/>
      <c r="E676" s="44"/>
      <c r="F676" s="44"/>
      <c r="G676" s="44"/>
      <c r="H676" s="44"/>
      <c r="I676" s="44"/>
    </row>
    <row r="677">
      <c r="A677" s="44"/>
      <c r="B677" s="44"/>
      <c r="C677" s="71"/>
      <c r="D677" s="44"/>
      <c r="E677" s="44"/>
      <c r="F677" s="44"/>
      <c r="G677" s="44"/>
      <c r="H677" s="44"/>
      <c r="I677" s="44"/>
    </row>
    <row r="678">
      <c r="A678" s="44"/>
      <c r="B678" s="44"/>
      <c r="C678" s="71"/>
      <c r="D678" s="44"/>
      <c r="E678" s="44"/>
      <c r="F678" s="44"/>
      <c r="G678" s="44"/>
      <c r="H678" s="44"/>
      <c r="I678" s="44"/>
    </row>
    <row r="679">
      <c r="A679" s="44"/>
      <c r="B679" s="44"/>
      <c r="C679" s="71"/>
      <c r="D679" s="44"/>
      <c r="E679" s="44"/>
      <c r="F679" s="44"/>
      <c r="G679" s="44"/>
      <c r="H679" s="44"/>
      <c r="I679" s="44"/>
    </row>
    <row r="680">
      <c r="A680" s="44"/>
      <c r="B680" s="44"/>
      <c r="C680" s="71"/>
      <c r="D680" s="44"/>
      <c r="E680" s="44"/>
      <c r="F680" s="44"/>
      <c r="G680" s="44"/>
      <c r="H680" s="44"/>
      <c r="I680" s="44"/>
    </row>
    <row r="681">
      <c r="A681" s="44"/>
      <c r="B681" s="44"/>
      <c r="C681" s="71"/>
      <c r="D681" s="44"/>
      <c r="E681" s="44"/>
      <c r="F681" s="44"/>
      <c r="G681" s="44"/>
      <c r="H681" s="44"/>
      <c r="I681" s="44"/>
    </row>
    <row r="682">
      <c r="A682" s="44"/>
      <c r="B682" s="44"/>
      <c r="C682" s="71"/>
      <c r="D682" s="44"/>
      <c r="E682" s="44"/>
      <c r="F682" s="44"/>
      <c r="G682" s="44"/>
      <c r="H682" s="44"/>
      <c r="I682" s="44"/>
    </row>
    <row r="683">
      <c r="A683" s="44"/>
      <c r="B683" s="44"/>
      <c r="C683" s="71"/>
      <c r="D683" s="44"/>
      <c r="E683" s="44"/>
      <c r="F683" s="44"/>
      <c r="G683" s="44"/>
      <c r="H683" s="44"/>
      <c r="I683" s="44"/>
    </row>
    <row r="684">
      <c r="A684" s="44"/>
      <c r="B684" s="44"/>
      <c r="C684" s="71"/>
      <c r="D684" s="44"/>
      <c r="E684" s="44"/>
      <c r="F684" s="44"/>
      <c r="G684" s="44"/>
      <c r="H684" s="44"/>
      <c r="I684" s="44"/>
    </row>
    <row r="685">
      <c r="A685" s="44"/>
      <c r="B685" s="44"/>
      <c r="C685" s="71"/>
      <c r="D685" s="44"/>
      <c r="E685" s="44"/>
      <c r="F685" s="44"/>
      <c r="G685" s="44"/>
      <c r="H685" s="44"/>
      <c r="I685" s="44"/>
    </row>
    <row r="686">
      <c r="A686" s="44"/>
      <c r="B686" s="44"/>
      <c r="C686" s="71"/>
      <c r="D686" s="44"/>
      <c r="E686" s="44"/>
      <c r="F686" s="44"/>
      <c r="G686" s="44"/>
      <c r="H686" s="44"/>
      <c r="I686" s="44"/>
    </row>
    <row r="687">
      <c r="A687" s="44"/>
      <c r="B687" s="44"/>
      <c r="C687" s="71"/>
      <c r="D687" s="44"/>
      <c r="E687" s="44"/>
      <c r="F687" s="44"/>
      <c r="G687" s="44"/>
      <c r="H687" s="44"/>
      <c r="I687" s="44"/>
    </row>
    <row r="688">
      <c r="A688" s="44"/>
      <c r="B688" s="44"/>
      <c r="C688" s="71"/>
      <c r="D688" s="44"/>
      <c r="E688" s="44"/>
      <c r="F688" s="44"/>
      <c r="G688" s="44"/>
      <c r="H688" s="44"/>
      <c r="I688" s="44"/>
    </row>
    <row r="689">
      <c r="A689" s="44"/>
      <c r="B689" s="44"/>
      <c r="C689" s="71"/>
      <c r="D689" s="44"/>
      <c r="E689" s="44"/>
      <c r="F689" s="44"/>
      <c r="G689" s="44"/>
      <c r="H689" s="44"/>
      <c r="I689" s="44"/>
    </row>
    <row r="690">
      <c r="A690" s="44"/>
      <c r="B690" s="44"/>
      <c r="C690" s="71"/>
      <c r="D690" s="44"/>
      <c r="E690" s="44"/>
      <c r="F690" s="44"/>
      <c r="G690" s="44"/>
      <c r="H690" s="44"/>
      <c r="I690" s="44"/>
    </row>
    <row r="691">
      <c r="A691" s="44"/>
      <c r="B691" s="44"/>
      <c r="C691" s="71"/>
      <c r="D691" s="44"/>
      <c r="E691" s="44"/>
      <c r="F691" s="44"/>
      <c r="G691" s="44"/>
      <c r="H691" s="44"/>
      <c r="I691" s="44"/>
    </row>
    <row r="692">
      <c r="A692" s="44"/>
      <c r="B692" s="44"/>
      <c r="C692" s="71"/>
      <c r="D692" s="44"/>
      <c r="E692" s="44"/>
      <c r="F692" s="44"/>
      <c r="G692" s="44"/>
      <c r="H692" s="44"/>
      <c r="I692" s="44"/>
    </row>
    <row r="693">
      <c r="A693" s="44"/>
      <c r="B693" s="44"/>
      <c r="C693" s="71"/>
      <c r="D693" s="44"/>
      <c r="E693" s="44"/>
      <c r="F693" s="44"/>
      <c r="G693" s="44"/>
      <c r="H693" s="44"/>
      <c r="I693" s="44"/>
    </row>
    <row r="694">
      <c r="A694" s="44"/>
      <c r="B694" s="44"/>
      <c r="C694" s="71"/>
      <c r="D694" s="44"/>
      <c r="E694" s="44"/>
      <c r="F694" s="44"/>
      <c r="G694" s="44"/>
      <c r="H694" s="44"/>
      <c r="I694" s="44"/>
    </row>
    <row r="695">
      <c r="A695" s="44"/>
      <c r="B695" s="44"/>
      <c r="C695" s="71"/>
      <c r="D695" s="44"/>
      <c r="E695" s="44"/>
      <c r="F695" s="44"/>
      <c r="G695" s="44"/>
      <c r="H695" s="44"/>
      <c r="I695" s="44"/>
    </row>
    <row r="696">
      <c r="A696" s="44"/>
      <c r="B696" s="44"/>
      <c r="C696" s="71"/>
      <c r="D696" s="44"/>
      <c r="E696" s="44"/>
      <c r="F696" s="44"/>
      <c r="G696" s="44"/>
      <c r="H696" s="44"/>
      <c r="I696" s="44"/>
    </row>
    <row r="697">
      <c r="A697" s="44"/>
      <c r="B697" s="44"/>
      <c r="C697" s="71"/>
      <c r="D697" s="44"/>
      <c r="E697" s="44"/>
      <c r="F697" s="44"/>
      <c r="G697" s="44"/>
      <c r="H697" s="44"/>
      <c r="I697" s="44"/>
    </row>
    <row r="698">
      <c r="A698" s="44"/>
      <c r="B698" s="44"/>
      <c r="C698" s="71"/>
      <c r="D698" s="44"/>
      <c r="E698" s="44"/>
      <c r="F698" s="44"/>
      <c r="G698" s="44"/>
      <c r="H698" s="44"/>
      <c r="I698" s="44"/>
    </row>
    <row r="699">
      <c r="A699" s="44"/>
      <c r="B699" s="44"/>
      <c r="C699" s="71"/>
      <c r="D699" s="44"/>
      <c r="E699" s="44"/>
      <c r="F699" s="44"/>
      <c r="G699" s="44"/>
      <c r="H699" s="44"/>
      <c r="I699" s="44"/>
    </row>
    <row r="700">
      <c r="A700" s="44"/>
      <c r="B700" s="44"/>
      <c r="C700" s="71"/>
      <c r="D700" s="44"/>
      <c r="E700" s="44"/>
      <c r="F700" s="44"/>
      <c r="G700" s="44"/>
      <c r="H700" s="44"/>
      <c r="I700" s="44"/>
    </row>
    <row r="701">
      <c r="A701" s="44"/>
      <c r="B701" s="44"/>
      <c r="C701" s="71"/>
      <c r="D701" s="44"/>
      <c r="E701" s="44"/>
      <c r="F701" s="44"/>
      <c r="G701" s="44"/>
      <c r="H701" s="44"/>
      <c r="I701" s="44"/>
    </row>
    <row r="702">
      <c r="A702" s="44"/>
      <c r="B702" s="44"/>
      <c r="C702" s="71"/>
      <c r="D702" s="44"/>
      <c r="E702" s="44"/>
      <c r="F702" s="44"/>
      <c r="G702" s="44"/>
      <c r="H702" s="44"/>
      <c r="I702" s="44"/>
    </row>
    <row r="703">
      <c r="A703" s="44"/>
      <c r="B703" s="44"/>
      <c r="C703" s="71"/>
      <c r="D703" s="44"/>
      <c r="E703" s="44"/>
      <c r="F703" s="44"/>
      <c r="G703" s="44"/>
      <c r="H703" s="44"/>
      <c r="I703" s="44"/>
    </row>
    <row r="704">
      <c r="A704" s="44"/>
      <c r="B704" s="44"/>
      <c r="C704" s="71"/>
      <c r="D704" s="44"/>
      <c r="E704" s="44"/>
      <c r="F704" s="44"/>
      <c r="G704" s="44"/>
      <c r="H704" s="44"/>
      <c r="I704" s="44"/>
    </row>
    <row r="705">
      <c r="A705" s="44"/>
      <c r="B705" s="44"/>
      <c r="C705" s="71"/>
      <c r="D705" s="44"/>
      <c r="E705" s="44"/>
      <c r="F705" s="44"/>
      <c r="G705" s="44"/>
      <c r="H705" s="44"/>
      <c r="I705" s="44"/>
    </row>
    <row r="706">
      <c r="A706" s="44"/>
      <c r="B706" s="44"/>
      <c r="C706" s="71"/>
      <c r="D706" s="44"/>
      <c r="E706" s="44"/>
      <c r="F706" s="44"/>
      <c r="G706" s="44"/>
      <c r="H706" s="44"/>
      <c r="I706" s="44"/>
    </row>
    <row r="707">
      <c r="A707" s="44"/>
      <c r="B707" s="44"/>
      <c r="C707" s="71"/>
      <c r="D707" s="44"/>
      <c r="E707" s="44"/>
      <c r="F707" s="44"/>
      <c r="G707" s="44"/>
      <c r="H707" s="44"/>
      <c r="I707" s="44"/>
    </row>
    <row r="708">
      <c r="A708" s="44"/>
      <c r="B708" s="44"/>
      <c r="C708" s="71"/>
      <c r="D708" s="44"/>
      <c r="E708" s="44"/>
      <c r="F708" s="44"/>
      <c r="G708" s="44"/>
      <c r="H708" s="44"/>
      <c r="I708" s="44"/>
    </row>
    <row r="709">
      <c r="A709" s="44"/>
      <c r="B709" s="44"/>
      <c r="C709" s="71"/>
      <c r="D709" s="44"/>
      <c r="E709" s="44"/>
      <c r="F709" s="44"/>
      <c r="G709" s="44"/>
      <c r="H709" s="44"/>
      <c r="I709" s="44"/>
    </row>
    <row r="710">
      <c r="A710" s="44"/>
      <c r="B710" s="44"/>
      <c r="C710" s="71"/>
      <c r="D710" s="44"/>
      <c r="E710" s="44"/>
      <c r="F710" s="44"/>
      <c r="G710" s="44"/>
      <c r="H710" s="44"/>
      <c r="I710" s="44"/>
    </row>
    <row r="711">
      <c r="A711" s="44"/>
      <c r="B711" s="44"/>
      <c r="C711" s="71"/>
      <c r="D711" s="44"/>
      <c r="E711" s="44"/>
      <c r="F711" s="44"/>
      <c r="G711" s="44"/>
      <c r="H711" s="44"/>
      <c r="I711" s="44"/>
    </row>
    <row r="712">
      <c r="A712" s="44"/>
      <c r="B712" s="44"/>
      <c r="C712" s="71"/>
      <c r="D712" s="44"/>
      <c r="E712" s="44"/>
      <c r="F712" s="44"/>
      <c r="G712" s="44"/>
      <c r="H712" s="44"/>
      <c r="I712" s="44"/>
    </row>
    <row r="713">
      <c r="A713" s="44"/>
      <c r="B713" s="44"/>
      <c r="C713" s="71"/>
      <c r="D713" s="44"/>
      <c r="E713" s="44"/>
      <c r="F713" s="44"/>
      <c r="G713" s="44"/>
      <c r="H713" s="44"/>
      <c r="I713" s="44"/>
    </row>
    <row r="714">
      <c r="A714" s="44"/>
      <c r="B714" s="44"/>
      <c r="C714" s="71"/>
      <c r="D714" s="44"/>
      <c r="E714" s="44"/>
      <c r="F714" s="44"/>
      <c r="G714" s="44"/>
      <c r="H714" s="44"/>
      <c r="I714" s="44"/>
    </row>
    <row r="715">
      <c r="A715" s="44"/>
      <c r="B715" s="44"/>
      <c r="C715" s="71"/>
      <c r="D715" s="44"/>
      <c r="E715" s="44"/>
      <c r="F715" s="44"/>
      <c r="G715" s="44"/>
      <c r="H715" s="44"/>
      <c r="I715" s="44"/>
    </row>
    <row r="716">
      <c r="A716" s="44"/>
      <c r="B716" s="44"/>
      <c r="C716" s="71"/>
      <c r="D716" s="44"/>
      <c r="E716" s="44"/>
      <c r="F716" s="44"/>
      <c r="G716" s="44"/>
      <c r="H716" s="44"/>
      <c r="I716" s="44"/>
    </row>
    <row r="717">
      <c r="A717" s="44"/>
      <c r="B717" s="44"/>
      <c r="C717" s="71"/>
      <c r="D717" s="44"/>
      <c r="E717" s="44"/>
      <c r="F717" s="44"/>
      <c r="G717" s="44"/>
      <c r="H717" s="44"/>
      <c r="I717" s="44"/>
    </row>
    <row r="718">
      <c r="A718" s="44"/>
      <c r="B718" s="44"/>
      <c r="C718" s="71"/>
      <c r="D718" s="44"/>
      <c r="E718" s="44"/>
      <c r="F718" s="44"/>
      <c r="G718" s="44"/>
      <c r="H718" s="44"/>
      <c r="I718" s="44"/>
    </row>
    <row r="719">
      <c r="A719" s="44"/>
      <c r="B719" s="44"/>
      <c r="C719" s="71"/>
      <c r="D719" s="44"/>
      <c r="E719" s="44"/>
      <c r="F719" s="44"/>
      <c r="G719" s="44"/>
      <c r="H719" s="44"/>
      <c r="I719" s="44"/>
    </row>
    <row r="720">
      <c r="A720" s="44"/>
      <c r="B720" s="44"/>
      <c r="C720" s="71"/>
      <c r="D720" s="44"/>
      <c r="E720" s="44"/>
      <c r="F720" s="44"/>
      <c r="G720" s="44"/>
      <c r="H720" s="44"/>
      <c r="I720" s="44"/>
    </row>
    <row r="721">
      <c r="A721" s="44"/>
      <c r="B721" s="44"/>
      <c r="C721" s="71"/>
      <c r="D721" s="44"/>
      <c r="E721" s="44"/>
      <c r="F721" s="44"/>
      <c r="G721" s="44"/>
      <c r="H721" s="44"/>
      <c r="I721" s="44"/>
    </row>
    <row r="722">
      <c r="A722" s="44"/>
      <c r="B722" s="44"/>
      <c r="C722" s="71"/>
      <c r="D722" s="44"/>
      <c r="E722" s="44"/>
      <c r="F722" s="44"/>
      <c r="G722" s="44"/>
      <c r="H722" s="44"/>
      <c r="I722" s="44"/>
    </row>
    <row r="723">
      <c r="A723" s="44"/>
      <c r="B723" s="44"/>
      <c r="C723" s="71"/>
      <c r="D723" s="44"/>
      <c r="E723" s="44"/>
      <c r="F723" s="44"/>
      <c r="G723" s="44"/>
      <c r="H723" s="44"/>
      <c r="I723" s="44"/>
    </row>
    <row r="724">
      <c r="A724" s="44"/>
      <c r="B724" s="44"/>
      <c r="C724" s="71"/>
      <c r="D724" s="44"/>
      <c r="E724" s="44"/>
      <c r="F724" s="44"/>
      <c r="G724" s="44"/>
      <c r="H724" s="44"/>
      <c r="I724" s="44"/>
    </row>
    <row r="725">
      <c r="A725" s="44"/>
      <c r="B725" s="44"/>
      <c r="C725" s="71"/>
      <c r="D725" s="44"/>
      <c r="E725" s="44"/>
      <c r="F725" s="44"/>
      <c r="G725" s="44"/>
      <c r="H725" s="44"/>
      <c r="I725" s="44"/>
    </row>
    <row r="726">
      <c r="A726" s="44"/>
      <c r="B726" s="44"/>
      <c r="C726" s="71"/>
      <c r="D726" s="44"/>
      <c r="E726" s="44"/>
      <c r="F726" s="44"/>
      <c r="G726" s="44"/>
      <c r="H726" s="44"/>
      <c r="I726" s="44"/>
    </row>
    <row r="727">
      <c r="A727" s="44"/>
      <c r="B727" s="44"/>
      <c r="C727" s="71"/>
      <c r="D727" s="44"/>
      <c r="E727" s="44"/>
      <c r="F727" s="44"/>
      <c r="G727" s="44"/>
      <c r="H727" s="44"/>
      <c r="I727" s="44"/>
    </row>
    <row r="728">
      <c r="A728" s="44"/>
      <c r="B728" s="44"/>
      <c r="C728" s="71"/>
      <c r="D728" s="44"/>
      <c r="E728" s="44"/>
      <c r="F728" s="44"/>
      <c r="G728" s="44"/>
      <c r="H728" s="44"/>
      <c r="I728" s="44"/>
    </row>
    <row r="729">
      <c r="A729" s="44"/>
      <c r="B729" s="44"/>
      <c r="C729" s="71"/>
      <c r="D729" s="44"/>
      <c r="E729" s="44"/>
      <c r="F729" s="44"/>
      <c r="G729" s="44"/>
      <c r="H729" s="44"/>
      <c r="I729" s="44"/>
    </row>
    <row r="730">
      <c r="A730" s="44"/>
      <c r="B730" s="44"/>
      <c r="C730" s="71"/>
      <c r="D730" s="44"/>
      <c r="E730" s="44"/>
      <c r="F730" s="44"/>
      <c r="G730" s="44"/>
      <c r="H730" s="44"/>
      <c r="I730" s="44"/>
    </row>
    <row r="731">
      <c r="A731" s="44"/>
      <c r="B731" s="44"/>
      <c r="C731" s="71"/>
      <c r="D731" s="44"/>
      <c r="E731" s="44"/>
      <c r="F731" s="44"/>
      <c r="G731" s="44"/>
      <c r="H731" s="44"/>
      <c r="I731" s="44"/>
    </row>
    <row r="732">
      <c r="A732" s="44"/>
      <c r="B732" s="44"/>
      <c r="C732" s="71"/>
      <c r="D732" s="44"/>
      <c r="E732" s="44"/>
      <c r="F732" s="44"/>
      <c r="G732" s="44"/>
      <c r="H732" s="44"/>
      <c r="I732" s="44"/>
    </row>
    <row r="733">
      <c r="A733" s="44"/>
      <c r="B733" s="44"/>
      <c r="C733" s="71"/>
      <c r="D733" s="44"/>
      <c r="E733" s="44"/>
      <c r="F733" s="44"/>
      <c r="G733" s="44"/>
      <c r="H733" s="44"/>
      <c r="I733" s="44"/>
    </row>
    <row r="734">
      <c r="A734" s="44"/>
      <c r="B734" s="44"/>
      <c r="C734" s="71"/>
      <c r="D734" s="44"/>
      <c r="E734" s="44"/>
      <c r="F734" s="44"/>
      <c r="G734" s="44"/>
      <c r="H734" s="44"/>
      <c r="I734" s="44"/>
    </row>
    <row r="735">
      <c r="A735" s="44"/>
      <c r="B735" s="44"/>
      <c r="C735" s="71"/>
      <c r="D735" s="44"/>
      <c r="E735" s="44"/>
      <c r="F735" s="44"/>
      <c r="G735" s="44"/>
      <c r="H735" s="44"/>
      <c r="I735" s="44"/>
    </row>
    <row r="736">
      <c r="A736" s="44"/>
      <c r="B736" s="44"/>
      <c r="C736" s="71"/>
      <c r="D736" s="44"/>
      <c r="E736" s="44"/>
      <c r="F736" s="44"/>
      <c r="G736" s="44"/>
      <c r="H736" s="44"/>
      <c r="I736" s="44"/>
    </row>
    <row r="737">
      <c r="A737" s="44"/>
      <c r="B737" s="44"/>
      <c r="C737" s="71"/>
      <c r="D737" s="44"/>
      <c r="E737" s="44"/>
      <c r="F737" s="44"/>
      <c r="G737" s="44"/>
      <c r="H737" s="44"/>
      <c r="I737" s="44"/>
    </row>
    <row r="738">
      <c r="A738" s="44"/>
      <c r="B738" s="44"/>
      <c r="C738" s="71"/>
      <c r="D738" s="44"/>
      <c r="E738" s="44"/>
      <c r="F738" s="44"/>
      <c r="G738" s="44"/>
      <c r="H738" s="44"/>
      <c r="I738" s="44"/>
    </row>
    <row r="739">
      <c r="A739" s="44"/>
      <c r="B739" s="44"/>
      <c r="C739" s="71"/>
      <c r="D739" s="44"/>
      <c r="E739" s="44"/>
      <c r="F739" s="44"/>
      <c r="G739" s="44"/>
      <c r="H739" s="44"/>
      <c r="I739" s="44"/>
    </row>
    <row r="740">
      <c r="A740" s="44"/>
      <c r="B740" s="44"/>
      <c r="C740" s="71"/>
      <c r="D740" s="44"/>
      <c r="E740" s="44"/>
      <c r="F740" s="44"/>
      <c r="G740" s="44"/>
      <c r="H740" s="44"/>
      <c r="I740" s="44"/>
    </row>
    <row r="741">
      <c r="A741" s="44"/>
      <c r="B741" s="44"/>
      <c r="C741" s="71"/>
      <c r="D741" s="44"/>
      <c r="E741" s="44"/>
      <c r="F741" s="44"/>
      <c r="G741" s="44"/>
      <c r="H741" s="44"/>
      <c r="I741" s="44"/>
    </row>
    <row r="742">
      <c r="A742" s="44"/>
      <c r="B742" s="44"/>
      <c r="C742" s="71"/>
      <c r="D742" s="44"/>
      <c r="E742" s="44"/>
      <c r="F742" s="44"/>
      <c r="G742" s="44"/>
      <c r="H742" s="44"/>
      <c r="I742" s="44"/>
    </row>
    <row r="743">
      <c r="A743" s="44"/>
      <c r="B743" s="44"/>
      <c r="C743" s="71"/>
      <c r="D743" s="44"/>
      <c r="E743" s="44"/>
      <c r="F743" s="44"/>
      <c r="G743" s="44"/>
      <c r="H743" s="44"/>
      <c r="I743" s="44"/>
    </row>
    <row r="744">
      <c r="A744" s="44"/>
      <c r="B744" s="44"/>
      <c r="C744" s="71"/>
      <c r="D744" s="44"/>
      <c r="E744" s="44"/>
      <c r="F744" s="44"/>
      <c r="G744" s="44"/>
      <c r="H744" s="44"/>
      <c r="I744" s="44"/>
    </row>
    <row r="745">
      <c r="A745" s="44"/>
      <c r="B745" s="44"/>
      <c r="C745" s="71"/>
      <c r="D745" s="44"/>
      <c r="E745" s="44"/>
      <c r="F745" s="44"/>
      <c r="G745" s="44"/>
      <c r="H745" s="44"/>
      <c r="I745" s="44"/>
    </row>
    <row r="746">
      <c r="A746" s="44"/>
      <c r="B746" s="44"/>
      <c r="C746" s="71"/>
      <c r="D746" s="44"/>
      <c r="E746" s="44"/>
      <c r="F746" s="44"/>
      <c r="G746" s="44"/>
      <c r="H746" s="44"/>
      <c r="I746" s="44"/>
    </row>
    <row r="747">
      <c r="A747" s="44"/>
      <c r="B747" s="44"/>
      <c r="C747" s="71"/>
      <c r="D747" s="44"/>
      <c r="E747" s="44"/>
      <c r="F747" s="44"/>
      <c r="G747" s="44"/>
      <c r="H747" s="44"/>
      <c r="I747" s="44"/>
    </row>
    <row r="748">
      <c r="A748" s="44"/>
      <c r="B748" s="44"/>
      <c r="C748" s="71"/>
      <c r="D748" s="44"/>
      <c r="E748" s="44"/>
      <c r="F748" s="44"/>
      <c r="G748" s="44"/>
      <c r="H748" s="44"/>
      <c r="I748" s="44"/>
    </row>
    <row r="749">
      <c r="A749" s="44"/>
      <c r="B749" s="44"/>
      <c r="C749" s="71"/>
      <c r="D749" s="44"/>
      <c r="E749" s="44"/>
      <c r="F749" s="44"/>
      <c r="G749" s="44"/>
      <c r="H749" s="44"/>
      <c r="I749" s="44"/>
    </row>
    <row r="750">
      <c r="A750" s="44"/>
      <c r="B750" s="44"/>
      <c r="C750" s="71"/>
      <c r="D750" s="44"/>
      <c r="E750" s="44"/>
      <c r="F750" s="44"/>
      <c r="G750" s="44"/>
      <c r="H750" s="44"/>
      <c r="I750" s="44"/>
    </row>
    <row r="751">
      <c r="A751" s="44"/>
      <c r="B751" s="44"/>
      <c r="C751" s="71"/>
      <c r="D751" s="44"/>
      <c r="E751" s="44"/>
      <c r="F751" s="44"/>
      <c r="G751" s="44"/>
      <c r="H751" s="44"/>
      <c r="I751" s="44"/>
    </row>
    <row r="752">
      <c r="A752" s="44"/>
      <c r="B752" s="44"/>
      <c r="C752" s="71"/>
      <c r="D752" s="44"/>
      <c r="E752" s="44"/>
      <c r="F752" s="44"/>
      <c r="G752" s="44"/>
      <c r="H752" s="44"/>
      <c r="I752" s="44"/>
    </row>
    <row r="753">
      <c r="A753" s="44"/>
      <c r="B753" s="44"/>
      <c r="C753" s="71"/>
      <c r="D753" s="44"/>
      <c r="E753" s="44"/>
      <c r="F753" s="44"/>
      <c r="G753" s="44"/>
      <c r="H753" s="44"/>
      <c r="I753" s="44"/>
    </row>
    <row r="754">
      <c r="A754" s="44"/>
      <c r="B754" s="44"/>
      <c r="C754" s="71"/>
      <c r="D754" s="44"/>
      <c r="E754" s="44"/>
      <c r="F754" s="44"/>
      <c r="G754" s="44"/>
      <c r="H754" s="44"/>
      <c r="I754" s="44"/>
    </row>
    <row r="755">
      <c r="A755" s="44"/>
      <c r="B755" s="44"/>
      <c r="C755" s="71"/>
      <c r="D755" s="44"/>
      <c r="E755" s="44"/>
      <c r="F755" s="44"/>
      <c r="G755" s="44"/>
      <c r="H755" s="44"/>
      <c r="I755" s="44"/>
    </row>
    <row r="756">
      <c r="A756" s="44"/>
      <c r="B756" s="44"/>
      <c r="C756" s="71"/>
      <c r="D756" s="44"/>
      <c r="E756" s="44"/>
      <c r="F756" s="44"/>
      <c r="G756" s="44"/>
      <c r="H756" s="44"/>
      <c r="I756" s="44"/>
    </row>
    <row r="757">
      <c r="A757" s="44"/>
      <c r="B757" s="44"/>
      <c r="C757" s="71"/>
      <c r="D757" s="44"/>
      <c r="E757" s="44"/>
      <c r="F757" s="44"/>
      <c r="G757" s="44"/>
      <c r="H757" s="44"/>
      <c r="I757" s="44"/>
    </row>
    <row r="758">
      <c r="A758" s="44"/>
      <c r="B758" s="44"/>
      <c r="C758" s="71"/>
      <c r="D758" s="44"/>
      <c r="E758" s="44"/>
      <c r="F758" s="44"/>
      <c r="G758" s="44"/>
      <c r="H758" s="44"/>
      <c r="I758" s="44"/>
    </row>
    <row r="759">
      <c r="A759" s="44"/>
      <c r="B759" s="44"/>
      <c r="C759" s="71"/>
      <c r="D759" s="44"/>
      <c r="E759" s="44"/>
      <c r="F759" s="44"/>
      <c r="G759" s="44"/>
      <c r="H759" s="44"/>
      <c r="I759" s="44"/>
    </row>
    <row r="760">
      <c r="A760" s="44"/>
      <c r="B760" s="44"/>
      <c r="C760" s="71"/>
      <c r="D760" s="44"/>
      <c r="E760" s="44"/>
      <c r="F760" s="44"/>
      <c r="G760" s="44"/>
      <c r="H760" s="44"/>
      <c r="I760" s="44"/>
    </row>
    <row r="761">
      <c r="A761" s="44"/>
      <c r="B761" s="44"/>
      <c r="C761" s="71"/>
      <c r="D761" s="44"/>
      <c r="E761" s="44"/>
      <c r="F761" s="44"/>
      <c r="G761" s="44"/>
      <c r="H761" s="44"/>
      <c r="I761" s="44"/>
    </row>
    <row r="762">
      <c r="A762" s="44"/>
      <c r="B762" s="44"/>
      <c r="C762" s="71"/>
      <c r="D762" s="44"/>
      <c r="E762" s="44"/>
      <c r="F762" s="44"/>
      <c r="G762" s="44"/>
      <c r="H762" s="44"/>
      <c r="I762" s="44"/>
    </row>
    <row r="763">
      <c r="A763" s="44"/>
      <c r="B763" s="44"/>
      <c r="C763" s="71"/>
      <c r="D763" s="44"/>
      <c r="E763" s="44"/>
      <c r="F763" s="44"/>
      <c r="G763" s="44"/>
      <c r="H763" s="44"/>
      <c r="I763" s="44"/>
    </row>
    <row r="764">
      <c r="A764" s="44"/>
      <c r="B764" s="44"/>
      <c r="C764" s="71"/>
      <c r="D764" s="44"/>
      <c r="E764" s="44"/>
      <c r="F764" s="44"/>
      <c r="G764" s="44"/>
      <c r="H764" s="44"/>
      <c r="I764" s="44"/>
    </row>
    <row r="765">
      <c r="A765" s="44"/>
      <c r="B765" s="44"/>
      <c r="C765" s="71"/>
      <c r="D765" s="44"/>
      <c r="E765" s="44"/>
      <c r="F765" s="44"/>
      <c r="G765" s="44"/>
      <c r="H765" s="44"/>
      <c r="I765" s="44"/>
    </row>
    <row r="766">
      <c r="A766" s="44"/>
      <c r="B766" s="44"/>
      <c r="C766" s="71"/>
      <c r="D766" s="44"/>
      <c r="E766" s="44"/>
      <c r="F766" s="44"/>
      <c r="G766" s="44"/>
      <c r="H766" s="44"/>
      <c r="I766" s="44"/>
    </row>
    <row r="767">
      <c r="A767" s="44"/>
      <c r="B767" s="44"/>
      <c r="C767" s="71"/>
      <c r="D767" s="44"/>
      <c r="E767" s="44"/>
      <c r="F767" s="44"/>
      <c r="G767" s="44"/>
      <c r="H767" s="44"/>
      <c r="I767" s="44"/>
    </row>
    <row r="768">
      <c r="A768" s="44"/>
      <c r="B768" s="44"/>
      <c r="C768" s="71"/>
      <c r="D768" s="44"/>
      <c r="E768" s="44"/>
      <c r="F768" s="44"/>
      <c r="G768" s="44"/>
      <c r="H768" s="44"/>
      <c r="I768" s="44"/>
    </row>
    <row r="769">
      <c r="A769" s="44"/>
      <c r="B769" s="44"/>
      <c r="C769" s="71"/>
      <c r="D769" s="44"/>
      <c r="E769" s="44"/>
      <c r="F769" s="44"/>
      <c r="G769" s="44"/>
      <c r="H769" s="44"/>
      <c r="I769" s="44"/>
    </row>
    <row r="770">
      <c r="A770" s="44"/>
      <c r="B770" s="44"/>
      <c r="C770" s="71"/>
      <c r="D770" s="44"/>
      <c r="E770" s="44"/>
      <c r="F770" s="44"/>
      <c r="G770" s="44"/>
      <c r="H770" s="44"/>
      <c r="I770" s="44"/>
    </row>
    <row r="771">
      <c r="A771" s="44"/>
      <c r="B771" s="44"/>
      <c r="C771" s="71"/>
      <c r="D771" s="44"/>
      <c r="E771" s="44"/>
      <c r="F771" s="44"/>
      <c r="G771" s="44"/>
      <c r="H771" s="44"/>
      <c r="I771" s="44"/>
    </row>
    <row r="772">
      <c r="A772" s="44"/>
      <c r="B772" s="44"/>
      <c r="C772" s="71"/>
      <c r="D772" s="44"/>
      <c r="E772" s="44"/>
      <c r="F772" s="44"/>
      <c r="G772" s="44"/>
      <c r="H772" s="44"/>
      <c r="I772" s="44"/>
    </row>
    <row r="773">
      <c r="A773" s="44"/>
      <c r="B773" s="44"/>
      <c r="C773" s="71"/>
      <c r="D773" s="44"/>
      <c r="E773" s="44"/>
      <c r="F773" s="44"/>
      <c r="G773" s="44"/>
      <c r="H773" s="44"/>
      <c r="I773" s="44"/>
    </row>
    <row r="774">
      <c r="A774" s="44"/>
      <c r="B774" s="44"/>
      <c r="C774" s="71"/>
      <c r="D774" s="44"/>
      <c r="E774" s="44"/>
      <c r="F774" s="44"/>
      <c r="G774" s="44"/>
      <c r="H774" s="44"/>
      <c r="I774" s="44"/>
    </row>
    <row r="775">
      <c r="A775" s="44"/>
      <c r="B775" s="44"/>
      <c r="C775" s="71"/>
      <c r="D775" s="44"/>
      <c r="E775" s="44"/>
      <c r="F775" s="44"/>
      <c r="G775" s="44"/>
      <c r="H775" s="44"/>
      <c r="I775" s="44"/>
    </row>
    <row r="776">
      <c r="A776" s="44"/>
      <c r="B776" s="44"/>
      <c r="C776" s="71"/>
      <c r="D776" s="44"/>
      <c r="E776" s="44"/>
      <c r="F776" s="44"/>
      <c r="G776" s="44"/>
      <c r="H776" s="44"/>
      <c r="I776" s="44"/>
    </row>
    <row r="777">
      <c r="A777" s="44"/>
      <c r="B777" s="44"/>
      <c r="C777" s="71"/>
      <c r="D777" s="44"/>
      <c r="E777" s="44"/>
      <c r="F777" s="44"/>
      <c r="G777" s="44"/>
      <c r="H777" s="44"/>
      <c r="I777" s="44"/>
    </row>
    <row r="778">
      <c r="A778" s="44"/>
      <c r="B778" s="44"/>
      <c r="C778" s="71"/>
      <c r="D778" s="44"/>
      <c r="E778" s="44"/>
      <c r="F778" s="44"/>
      <c r="G778" s="44"/>
      <c r="H778" s="44"/>
      <c r="I778" s="44"/>
    </row>
    <row r="779">
      <c r="A779" s="44"/>
      <c r="B779" s="44"/>
      <c r="C779" s="71"/>
      <c r="D779" s="44"/>
      <c r="E779" s="44"/>
      <c r="F779" s="44"/>
      <c r="G779" s="44"/>
      <c r="H779" s="44"/>
      <c r="I779" s="44"/>
    </row>
    <row r="780">
      <c r="A780" s="44"/>
      <c r="B780" s="44"/>
      <c r="C780" s="71"/>
      <c r="D780" s="44"/>
      <c r="E780" s="44"/>
      <c r="F780" s="44"/>
      <c r="G780" s="44"/>
      <c r="H780" s="44"/>
      <c r="I780" s="44"/>
    </row>
    <row r="781">
      <c r="A781" s="44"/>
      <c r="B781" s="44"/>
      <c r="C781" s="71"/>
      <c r="D781" s="44"/>
      <c r="E781" s="44"/>
      <c r="F781" s="44"/>
      <c r="G781" s="44"/>
      <c r="H781" s="44"/>
      <c r="I781" s="44"/>
    </row>
    <row r="782">
      <c r="A782" s="44"/>
      <c r="B782" s="44"/>
      <c r="C782" s="71"/>
      <c r="D782" s="44"/>
      <c r="E782" s="44"/>
      <c r="F782" s="44"/>
      <c r="G782" s="44"/>
      <c r="H782" s="44"/>
      <c r="I782" s="44"/>
    </row>
    <row r="783">
      <c r="A783" s="44"/>
      <c r="B783" s="44"/>
      <c r="C783" s="71"/>
      <c r="D783" s="44"/>
      <c r="E783" s="44"/>
      <c r="F783" s="44"/>
      <c r="G783" s="44"/>
      <c r="H783" s="44"/>
      <c r="I783" s="44"/>
    </row>
    <row r="784">
      <c r="A784" s="44"/>
      <c r="B784" s="44"/>
      <c r="C784" s="71"/>
      <c r="D784" s="44"/>
      <c r="E784" s="44"/>
      <c r="F784" s="44"/>
      <c r="G784" s="44"/>
      <c r="H784" s="44"/>
      <c r="I784" s="44"/>
    </row>
    <row r="785">
      <c r="A785" s="44"/>
      <c r="B785" s="44"/>
      <c r="C785" s="71"/>
      <c r="D785" s="44"/>
      <c r="E785" s="44"/>
      <c r="F785" s="44"/>
      <c r="G785" s="44"/>
      <c r="H785" s="44"/>
      <c r="I785" s="44"/>
    </row>
    <row r="786">
      <c r="A786" s="44"/>
      <c r="B786" s="44"/>
      <c r="C786" s="71"/>
      <c r="D786" s="44"/>
      <c r="E786" s="44"/>
      <c r="F786" s="44"/>
      <c r="G786" s="44"/>
      <c r="H786" s="44"/>
      <c r="I786" s="44"/>
    </row>
    <row r="787">
      <c r="A787" s="44"/>
      <c r="B787" s="44"/>
      <c r="C787" s="71"/>
      <c r="D787" s="44"/>
      <c r="E787" s="44"/>
      <c r="F787" s="44"/>
      <c r="G787" s="44"/>
      <c r="H787" s="44"/>
      <c r="I787" s="44"/>
    </row>
    <row r="788">
      <c r="A788" s="44"/>
      <c r="B788" s="44"/>
      <c r="C788" s="71"/>
      <c r="D788" s="44"/>
      <c r="E788" s="44"/>
      <c r="F788" s="44"/>
      <c r="G788" s="44"/>
      <c r="H788" s="44"/>
      <c r="I788" s="44"/>
    </row>
    <row r="789">
      <c r="A789" s="44"/>
      <c r="B789" s="44"/>
      <c r="C789" s="71"/>
      <c r="D789" s="44"/>
      <c r="E789" s="44"/>
      <c r="F789" s="44"/>
      <c r="G789" s="44"/>
      <c r="H789" s="44"/>
      <c r="I789" s="44"/>
    </row>
    <row r="790">
      <c r="A790" s="44"/>
      <c r="B790" s="44"/>
      <c r="C790" s="71"/>
      <c r="D790" s="44"/>
      <c r="E790" s="44"/>
      <c r="F790" s="44"/>
      <c r="G790" s="44"/>
      <c r="H790" s="44"/>
      <c r="I790" s="44"/>
    </row>
    <row r="791">
      <c r="A791" s="44"/>
      <c r="B791" s="44"/>
      <c r="C791" s="71"/>
      <c r="D791" s="44"/>
      <c r="E791" s="44"/>
      <c r="F791" s="44"/>
      <c r="G791" s="44"/>
      <c r="H791" s="44"/>
      <c r="I791" s="44"/>
    </row>
    <row r="792">
      <c r="A792" s="44"/>
      <c r="B792" s="44"/>
      <c r="C792" s="71"/>
      <c r="D792" s="44"/>
      <c r="E792" s="44"/>
      <c r="F792" s="44"/>
      <c r="G792" s="44"/>
      <c r="H792" s="44"/>
      <c r="I792" s="44"/>
    </row>
    <row r="793">
      <c r="A793" s="44"/>
      <c r="B793" s="44"/>
      <c r="C793" s="71"/>
      <c r="D793" s="44"/>
      <c r="E793" s="44"/>
      <c r="F793" s="44"/>
      <c r="G793" s="44"/>
      <c r="H793" s="44"/>
      <c r="I793" s="44"/>
    </row>
    <row r="794">
      <c r="A794" s="44"/>
      <c r="B794" s="44"/>
      <c r="C794" s="71"/>
      <c r="D794" s="44"/>
      <c r="E794" s="44"/>
      <c r="F794" s="44"/>
      <c r="G794" s="44"/>
      <c r="H794" s="44"/>
      <c r="I794" s="44"/>
    </row>
    <row r="795">
      <c r="A795" s="44"/>
      <c r="B795" s="44"/>
      <c r="C795" s="71"/>
      <c r="D795" s="44"/>
      <c r="E795" s="44"/>
      <c r="F795" s="44"/>
      <c r="G795" s="44"/>
      <c r="H795" s="44"/>
      <c r="I795" s="44"/>
    </row>
    <row r="796">
      <c r="A796" s="44"/>
      <c r="B796" s="44"/>
      <c r="C796" s="71"/>
      <c r="D796" s="44"/>
      <c r="E796" s="44"/>
      <c r="F796" s="44"/>
      <c r="G796" s="44"/>
      <c r="H796" s="44"/>
      <c r="I796" s="44"/>
    </row>
    <row r="797">
      <c r="A797" s="44"/>
      <c r="B797" s="44"/>
      <c r="C797" s="71"/>
      <c r="D797" s="44"/>
      <c r="E797" s="44"/>
      <c r="F797" s="44"/>
      <c r="G797" s="44"/>
      <c r="H797" s="44"/>
      <c r="I797" s="44"/>
    </row>
    <row r="798">
      <c r="A798" s="44"/>
      <c r="B798" s="44"/>
      <c r="C798" s="71"/>
      <c r="D798" s="44"/>
      <c r="E798" s="44"/>
      <c r="F798" s="44"/>
      <c r="G798" s="44"/>
      <c r="H798" s="44"/>
      <c r="I798" s="44"/>
    </row>
    <row r="799">
      <c r="A799" s="44"/>
      <c r="B799" s="44"/>
      <c r="C799" s="71"/>
      <c r="D799" s="44"/>
      <c r="E799" s="44"/>
      <c r="F799" s="44"/>
      <c r="G799" s="44"/>
      <c r="H799" s="44"/>
      <c r="I799" s="44"/>
    </row>
    <row r="800">
      <c r="A800" s="44"/>
      <c r="B800" s="44"/>
      <c r="C800" s="71"/>
      <c r="D800" s="44"/>
      <c r="E800" s="44"/>
      <c r="F800" s="44"/>
      <c r="G800" s="44"/>
      <c r="H800" s="44"/>
      <c r="I800" s="44"/>
    </row>
    <row r="801">
      <c r="A801" s="44"/>
      <c r="B801" s="44"/>
      <c r="C801" s="71"/>
      <c r="D801" s="44"/>
      <c r="E801" s="44"/>
      <c r="F801" s="44"/>
      <c r="G801" s="44"/>
      <c r="H801" s="44"/>
      <c r="I801" s="44"/>
    </row>
    <row r="802">
      <c r="A802" s="44"/>
      <c r="B802" s="44"/>
      <c r="C802" s="71"/>
      <c r="D802" s="44"/>
      <c r="E802" s="44"/>
      <c r="F802" s="44"/>
      <c r="G802" s="44"/>
      <c r="H802" s="44"/>
      <c r="I802" s="44"/>
    </row>
    <row r="803">
      <c r="A803" s="44"/>
      <c r="B803" s="44"/>
      <c r="C803" s="71"/>
      <c r="D803" s="44"/>
      <c r="E803" s="44"/>
      <c r="F803" s="44"/>
      <c r="G803" s="44"/>
      <c r="H803" s="44"/>
      <c r="I803" s="44"/>
    </row>
    <row r="804">
      <c r="A804" s="44"/>
      <c r="B804" s="44"/>
      <c r="C804" s="71"/>
      <c r="D804" s="44"/>
      <c r="E804" s="44"/>
      <c r="F804" s="44"/>
      <c r="G804" s="44"/>
      <c r="H804" s="44"/>
      <c r="I804" s="44"/>
    </row>
    <row r="805">
      <c r="A805" s="44"/>
      <c r="B805" s="44"/>
      <c r="C805" s="71"/>
      <c r="D805" s="44"/>
      <c r="E805" s="44"/>
      <c r="F805" s="44"/>
      <c r="G805" s="44"/>
      <c r="H805" s="44"/>
      <c r="I805" s="44"/>
    </row>
    <row r="806">
      <c r="A806" s="44"/>
      <c r="B806" s="44"/>
      <c r="C806" s="71"/>
      <c r="D806" s="44"/>
      <c r="E806" s="44"/>
      <c r="F806" s="44"/>
      <c r="G806" s="44"/>
      <c r="H806" s="44"/>
      <c r="I806" s="44"/>
    </row>
    <row r="807">
      <c r="A807" s="44"/>
      <c r="B807" s="44"/>
      <c r="C807" s="71"/>
      <c r="D807" s="44"/>
      <c r="E807" s="44"/>
      <c r="F807" s="44"/>
      <c r="G807" s="44"/>
      <c r="H807" s="44"/>
      <c r="I807" s="44"/>
    </row>
    <row r="808">
      <c r="A808" s="44"/>
      <c r="B808" s="44"/>
      <c r="C808" s="71"/>
      <c r="D808" s="44"/>
      <c r="E808" s="44"/>
      <c r="F808" s="44"/>
      <c r="G808" s="44"/>
      <c r="H808" s="44"/>
      <c r="I808" s="44"/>
    </row>
    <row r="809">
      <c r="A809" s="44"/>
      <c r="B809" s="44"/>
      <c r="C809" s="71"/>
      <c r="D809" s="44"/>
      <c r="E809" s="44"/>
      <c r="F809" s="44"/>
      <c r="G809" s="44"/>
      <c r="H809" s="44"/>
      <c r="I809" s="44"/>
    </row>
    <row r="810">
      <c r="A810" s="44"/>
      <c r="B810" s="44"/>
      <c r="C810" s="71"/>
      <c r="D810" s="44"/>
      <c r="E810" s="44"/>
      <c r="F810" s="44"/>
      <c r="G810" s="44"/>
      <c r="H810" s="44"/>
      <c r="I810" s="44"/>
    </row>
    <row r="811">
      <c r="A811" s="44"/>
      <c r="B811" s="44"/>
      <c r="C811" s="71"/>
      <c r="D811" s="44"/>
      <c r="E811" s="44"/>
      <c r="F811" s="44"/>
      <c r="G811" s="44"/>
      <c r="H811" s="44"/>
      <c r="I811" s="44"/>
    </row>
    <row r="812">
      <c r="A812" s="44"/>
      <c r="B812" s="44"/>
      <c r="C812" s="71"/>
      <c r="D812" s="44"/>
      <c r="E812" s="44"/>
      <c r="F812" s="44"/>
      <c r="G812" s="44"/>
      <c r="H812" s="44"/>
      <c r="I812" s="44"/>
    </row>
    <row r="813">
      <c r="A813" s="44"/>
      <c r="B813" s="44"/>
      <c r="C813" s="71"/>
      <c r="D813" s="44"/>
      <c r="E813" s="44"/>
      <c r="F813" s="44"/>
      <c r="G813" s="44"/>
      <c r="H813" s="44"/>
      <c r="I813" s="44"/>
    </row>
    <row r="814">
      <c r="A814" s="44"/>
      <c r="B814" s="44"/>
      <c r="C814" s="71"/>
      <c r="D814" s="44"/>
      <c r="E814" s="44"/>
      <c r="F814" s="44"/>
      <c r="G814" s="44"/>
      <c r="H814" s="44"/>
      <c r="I814" s="44"/>
    </row>
    <row r="815">
      <c r="A815" s="44"/>
      <c r="B815" s="44"/>
      <c r="C815" s="71"/>
      <c r="D815" s="44"/>
      <c r="E815" s="44"/>
      <c r="F815" s="44"/>
      <c r="G815" s="44"/>
      <c r="H815" s="44"/>
      <c r="I815" s="44"/>
    </row>
    <row r="816">
      <c r="A816" s="44"/>
      <c r="B816" s="44"/>
      <c r="C816" s="71"/>
      <c r="D816" s="44"/>
      <c r="E816" s="44"/>
      <c r="F816" s="44"/>
      <c r="G816" s="44"/>
      <c r="H816" s="44"/>
      <c r="I816" s="44"/>
    </row>
    <row r="817">
      <c r="A817" s="44"/>
      <c r="B817" s="44"/>
      <c r="C817" s="71"/>
      <c r="D817" s="44"/>
      <c r="E817" s="44"/>
      <c r="F817" s="44"/>
      <c r="G817" s="44"/>
      <c r="H817" s="44"/>
      <c r="I817" s="44"/>
    </row>
    <row r="818">
      <c r="A818" s="44"/>
      <c r="B818" s="44"/>
      <c r="C818" s="71"/>
      <c r="D818" s="44"/>
      <c r="E818" s="44"/>
      <c r="F818" s="44"/>
      <c r="G818" s="44"/>
      <c r="H818" s="44"/>
      <c r="I818" s="44"/>
    </row>
    <row r="819">
      <c r="A819" s="44"/>
      <c r="B819" s="44"/>
      <c r="C819" s="71"/>
      <c r="D819" s="44"/>
      <c r="E819" s="44"/>
      <c r="F819" s="44"/>
      <c r="G819" s="44"/>
      <c r="H819" s="44"/>
      <c r="I819" s="44"/>
    </row>
    <row r="820">
      <c r="A820" s="44"/>
      <c r="B820" s="44"/>
      <c r="C820" s="71"/>
      <c r="D820" s="44"/>
      <c r="E820" s="44"/>
      <c r="F820" s="44"/>
      <c r="G820" s="44"/>
      <c r="H820" s="44"/>
      <c r="I820" s="44"/>
    </row>
    <row r="821">
      <c r="A821" s="44"/>
      <c r="B821" s="44"/>
      <c r="C821" s="71"/>
      <c r="D821" s="44"/>
      <c r="E821" s="44"/>
      <c r="F821" s="44"/>
      <c r="G821" s="44"/>
      <c r="H821" s="44"/>
      <c r="I821" s="44"/>
    </row>
    <row r="822">
      <c r="A822" s="44"/>
      <c r="B822" s="44"/>
      <c r="C822" s="71"/>
      <c r="D822" s="44"/>
      <c r="E822" s="44"/>
      <c r="F822" s="44"/>
      <c r="G822" s="44"/>
      <c r="H822" s="44"/>
      <c r="I822" s="44"/>
    </row>
    <row r="823">
      <c r="A823" s="44"/>
      <c r="B823" s="44"/>
      <c r="C823" s="71"/>
      <c r="D823" s="44"/>
      <c r="E823" s="44"/>
      <c r="F823" s="44"/>
      <c r="G823" s="44"/>
      <c r="H823" s="44"/>
      <c r="I823" s="44"/>
    </row>
    <row r="824">
      <c r="A824" s="44"/>
      <c r="B824" s="44"/>
      <c r="C824" s="71"/>
      <c r="D824" s="44"/>
      <c r="E824" s="44"/>
      <c r="F824" s="44"/>
      <c r="G824" s="44"/>
      <c r="H824" s="44"/>
      <c r="I824" s="44"/>
    </row>
    <row r="825">
      <c r="A825" s="44"/>
      <c r="B825" s="44"/>
      <c r="C825" s="71"/>
      <c r="D825" s="44"/>
      <c r="E825" s="44"/>
      <c r="F825" s="44"/>
      <c r="G825" s="44"/>
      <c r="H825" s="44"/>
      <c r="I825" s="44"/>
    </row>
    <row r="826">
      <c r="A826" s="44"/>
      <c r="B826" s="44"/>
      <c r="C826" s="71"/>
      <c r="D826" s="44"/>
      <c r="E826" s="44"/>
      <c r="F826" s="44"/>
      <c r="G826" s="44"/>
      <c r="H826" s="44"/>
      <c r="I826" s="44"/>
    </row>
    <row r="827">
      <c r="A827" s="44"/>
      <c r="B827" s="44"/>
      <c r="C827" s="71"/>
      <c r="D827" s="44"/>
      <c r="E827" s="44"/>
      <c r="F827" s="44"/>
      <c r="G827" s="44"/>
      <c r="H827" s="44"/>
      <c r="I827" s="44"/>
    </row>
    <row r="828">
      <c r="A828" s="44"/>
      <c r="B828" s="44"/>
      <c r="C828" s="71"/>
      <c r="D828" s="44"/>
      <c r="E828" s="44"/>
      <c r="F828" s="44"/>
      <c r="G828" s="44"/>
      <c r="H828" s="44"/>
      <c r="I828" s="44"/>
    </row>
    <row r="829">
      <c r="A829" s="44"/>
      <c r="B829" s="44"/>
      <c r="C829" s="71"/>
      <c r="D829" s="44"/>
      <c r="E829" s="44"/>
      <c r="F829" s="44"/>
      <c r="G829" s="44"/>
      <c r="H829" s="44"/>
      <c r="I829" s="44"/>
    </row>
    <row r="830">
      <c r="A830" s="44"/>
      <c r="B830" s="44"/>
      <c r="C830" s="71"/>
      <c r="D830" s="44"/>
      <c r="E830" s="44"/>
      <c r="F830" s="44"/>
      <c r="G830" s="44"/>
      <c r="H830" s="44"/>
      <c r="I830" s="44"/>
    </row>
    <row r="831">
      <c r="A831" s="44"/>
      <c r="B831" s="44"/>
      <c r="C831" s="71"/>
      <c r="D831" s="44"/>
      <c r="E831" s="44"/>
      <c r="F831" s="44"/>
      <c r="G831" s="44"/>
      <c r="H831" s="44"/>
      <c r="I831" s="44"/>
    </row>
    <row r="832">
      <c r="A832" s="44"/>
      <c r="B832" s="44"/>
      <c r="C832" s="71"/>
      <c r="D832" s="44"/>
      <c r="E832" s="44"/>
      <c r="F832" s="44"/>
      <c r="G832" s="44"/>
      <c r="H832" s="44"/>
      <c r="I832" s="44"/>
    </row>
    <row r="833">
      <c r="A833" s="44"/>
      <c r="B833" s="44"/>
      <c r="C833" s="71"/>
      <c r="D833" s="44"/>
      <c r="E833" s="44"/>
      <c r="F833" s="44"/>
      <c r="G833" s="44"/>
      <c r="H833" s="44"/>
      <c r="I833" s="44"/>
    </row>
    <row r="834">
      <c r="A834" s="44"/>
      <c r="B834" s="44"/>
      <c r="C834" s="71"/>
      <c r="D834" s="44"/>
      <c r="E834" s="44"/>
      <c r="F834" s="44"/>
      <c r="G834" s="44"/>
      <c r="H834" s="44"/>
      <c r="I834" s="44"/>
    </row>
    <row r="835">
      <c r="A835" s="44"/>
      <c r="B835" s="44"/>
      <c r="C835" s="71"/>
      <c r="D835" s="44"/>
      <c r="E835" s="44"/>
      <c r="F835" s="44"/>
      <c r="G835" s="44"/>
      <c r="H835" s="44"/>
      <c r="I835" s="44"/>
    </row>
    <row r="836">
      <c r="A836" s="44"/>
      <c r="B836" s="44"/>
      <c r="C836" s="71"/>
      <c r="D836" s="44"/>
      <c r="E836" s="44"/>
      <c r="F836" s="44"/>
      <c r="G836" s="44"/>
      <c r="H836" s="44"/>
      <c r="I836" s="44"/>
    </row>
    <row r="837">
      <c r="A837" s="44"/>
      <c r="B837" s="44"/>
      <c r="C837" s="71"/>
      <c r="D837" s="44"/>
      <c r="E837" s="44"/>
      <c r="F837" s="44"/>
      <c r="G837" s="44"/>
      <c r="H837" s="44"/>
      <c r="I837" s="44"/>
    </row>
    <row r="838">
      <c r="A838" s="44"/>
      <c r="B838" s="44"/>
      <c r="C838" s="71"/>
      <c r="D838" s="44"/>
      <c r="E838" s="44"/>
      <c r="F838" s="44"/>
      <c r="G838" s="44"/>
      <c r="H838" s="44"/>
      <c r="I838" s="44"/>
    </row>
    <row r="839">
      <c r="A839" s="44"/>
      <c r="B839" s="44"/>
      <c r="C839" s="71"/>
      <c r="D839" s="44"/>
      <c r="E839" s="44"/>
      <c r="F839" s="44"/>
      <c r="G839" s="44"/>
      <c r="H839" s="44"/>
      <c r="I839" s="44"/>
    </row>
    <row r="840">
      <c r="A840" s="44"/>
      <c r="B840" s="44"/>
      <c r="C840" s="71"/>
      <c r="D840" s="44"/>
      <c r="E840" s="44"/>
      <c r="F840" s="44"/>
      <c r="G840" s="44"/>
      <c r="H840" s="44"/>
      <c r="I840" s="44"/>
    </row>
    <row r="841">
      <c r="A841" s="44"/>
      <c r="B841" s="44"/>
      <c r="C841" s="71"/>
      <c r="D841" s="44"/>
      <c r="E841" s="44"/>
      <c r="F841" s="44"/>
      <c r="G841" s="44"/>
      <c r="H841" s="44"/>
      <c r="I841" s="44"/>
    </row>
    <row r="842">
      <c r="A842" s="44"/>
      <c r="B842" s="44"/>
      <c r="C842" s="71"/>
      <c r="D842" s="44"/>
      <c r="E842" s="44"/>
      <c r="F842" s="44"/>
      <c r="G842" s="44"/>
      <c r="H842" s="44"/>
      <c r="I842" s="44"/>
    </row>
    <row r="843">
      <c r="A843" s="44"/>
      <c r="B843" s="44"/>
      <c r="C843" s="71"/>
      <c r="D843" s="44"/>
      <c r="E843" s="44"/>
      <c r="F843" s="44"/>
      <c r="G843" s="44"/>
      <c r="H843" s="44"/>
      <c r="I843" s="44"/>
    </row>
    <row r="844">
      <c r="A844" s="44"/>
      <c r="B844" s="44"/>
      <c r="C844" s="71"/>
      <c r="D844" s="44"/>
      <c r="E844" s="44"/>
      <c r="F844" s="44"/>
      <c r="G844" s="44"/>
      <c r="H844" s="44"/>
      <c r="I844" s="44"/>
    </row>
    <row r="845">
      <c r="A845" s="44"/>
      <c r="B845" s="44"/>
      <c r="C845" s="71"/>
      <c r="D845" s="44"/>
      <c r="E845" s="44"/>
      <c r="F845" s="44"/>
      <c r="G845" s="44"/>
      <c r="H845" s="44"/>
      <c r="I845" s="44"/>
    </row>
    <row r="846">
      <c r="A846" s="44"/>
      <c r="B846" s="44"/>
      <c r="C846" s="71"/>
      <c r="D846" s="44"/>
      <c r="E846" s="44"/>
      <c r="F846" s="44"/>
      <c r="G846" s="44"/>
      <c r="H846" s="44"/>
      <c r="I846" s="44"/>
    </row>
    <row r="847">
      <c r="A847" s="44"/>
      <c r="B847" s="44"/>
      <c r="C847" s="71"/>
      <c r="D847" s="44"/>
      <c r="E847" s="44"/>
      <c r="F847" s="44"/>
      <c r="G847" s="44"/>
      <c r="H847" s="44"/>
      <c r="I847" s="44"/>
    </row>
    <row r="848">
      <c r="A848" s="44"/>
      <c r="B848" s="44"/>
      <c r="C848" s="71"/>
      <c r="D848" s="44"/>
      <c r="E848" s="44"/>
      <c r="F848" s="44"/>
      <c r="G848" s="44"/>
      <c r="H848" s="44"/>
      <c r="I848" s="44"/>
    </row>
    <row r="849">
      <c r="A849" s="44"/>
      <c r="B849" s="44"/>
      <c r="C849" s="71"/>
      <c r="D849" s="44"/>
      <c r="E849" s="44"/>
      <c r="F849" s="44"/>
      <c r="G849" s="44"/>
      <c r="H849" s="44"/>
      <c r="I849" s="44"/>
    </row>
    <row r="850">
      <c r="A850" s="44"/>
      <c r="B850" s="44"/>
      <c r="C850" s="71"/>
      <c r="D850" s="44"/>
      <c r="E850" s="44"/>
      <c r="F850" s="44"/>
      <c r="G850" s="44"/>
      <c r="H850" s="44"/>
      <c r="I850" s="44"/>
    </row>
    <row r="851">
      <c r="A851" s="44"/>
      <c r="B851" s="44"/>
      <c r="C851" s="71"/>
      <c r="D851" s="44"/>
      <c r="E851" s="44"/>
      <c r="F851" s="44"/>
      <c r="G851" s="44"/>
      <c r="H851" s="44"/>
      <c r="I851" s="44"/>
    </row>
    <row r="852">
      <c r="A852" s="44"/>
      <c r="B852" s="44"/>
      <c r="C852" s="71"/>
      <c r="D852" s="44"/>
      <c r="E852" s="44"/>
      <c r="F852" s="44"/>
      <c r="G852" s="44"/>
      <c r="H852" s="44"/>
      <c r="I852" s="44"/>
    </row>
    <row r="853">
      <c r="A853" s="44"/>
      <c r="B853" s="44"/>
      <c r="C853" s="71"/>
      <c r="D853" s="44"/>
      <c r="E853" s="44"/>
      <c r="F853" s="44"/>
      <c r="G853" s="44"/>
      <c r="H853" s="44"/>
      <c r="I853" s="44"/>
    </row>
    <row r="854">
      <c r="A854" s="44"/>
      <c r="B854" s="44"/>
      <c r="C854" s="71"/>
      <c r="D854" s="44"/>
      <c r="E854" s="44"/>
      <c r="F854" s="44"/>
      <c r="G854" s="44"/>
      <c r="H854" s="44"/>
      <c r="I854" s="44"/>
    </row>
    <row r="855">
      <c r="A855" s="44"/>
      <c r="B855" s="44"/>
      <c r="C855" s="71"/>
      <c r="D855" s="44"/>
      <c r="E855" s="44"/>
      <c r="F855" s="44"/>
      <c r="G855" s="44"/>
      <c r="H855" s="44"/>
      <c r="I855" s="44"/>
    </row>
    <row r="856">
      <c r="A856" s="44"/>
      <c r="B856" s="44"/>
      <c r="C856" s="71"/>
      <c r="D856" s="44"/>
      <c r="E856" s="44"/>
      <c r="F856" s="44"/>
      <c r="G856" s="44"/>
      <c r="H856" s="44"/>
      <c r="I856" s="44"/>
    </row>
    <row r="857">
      <c r="A857" s="44"/>
      <c r="B857" s="44"/>
      <c r="C857" s="71"/>
      <c r="D857" s="44"/>
      <c r="E857" s="44"/>
      <c r="F857" s="44"/>
      <c r="G857" s="44"/>
      <c r="H857" s="44"/>
      <c r="I857" s="44"/>
    </row>
    <row r="858">
      <c r="A858" s="44"/>
      <c r="B858" s="44"/>
      <c r="C858" s="71"/>
      <c r="D858" s="44"/>
      <c r="E858" s="44"/>
      <c r="F858" s="44"/>
      <c r="G858" s="44"/>
      <c r="H858" s="44"/>
      <c r="I858" s="44"/>
    </row>
    <row r="859">
      <c r="A859" s="44"/>
      <c r="B859" s="44"/>
      <c r="C859" s="71"/>
      <c r="D859" s="44"/>
      <c r="E859" s="44"/>
      <c r="F859" s="44"/>
      <c r="G859" s="44"/>
      <c r="H859" s="44"/>
      <c r="I859" s="44"/>
    </row>
    <row r="860">
      <c r="A860" s="44"/>
      <c r="B860" s="44"/>
      <c r="C860" s="71"/>
      <c r="D860" s="44"/>
      <c r="E860" s="44"/>
      <c r="F860" s="44"/>
      <c r="G860" s="44"/>
      <c r="H860" s="44"/>
      <c r="I860" s="44"/>
    </row>
    <row r="861">
      <c r="A861" s="44"/>
      <c r="B861" s="44"/>
      <c r="C861" s="71"/>
      <c r="D861" s="44"/>
      <c r="E861" s="44"/>
      <c r="F861" s="44"/>
      <c r="G861" s="44"/>
      <c r="H861" s="44"/>
      <c r="I861" s="44"/>
    </row>
    <row r="862">
      <c r="A862" s="44"/>
      <c r="B862" s="44"/>
      <c r="C862" s="71"/>
      <c r="D862" s="44"/>
      <c r="E862" s="44"/>
      <c r="F862" s="44"/>
      <c r="G862" s="44"/>
      <c r="H862" s="44"/>
      <c r="I862" s="44"/>
    </row>
    <row r="863">
      <c r="A863" s="44"/>
      <c r="B863" s="44"/>
      <c r="C863" s="71"/>
      <c r="D863" s="44"/>
      <c r="E863" s="44"/>
      <c r="F863" s="44"/>
      <c r="G863" s="44"/>
      <c r="H863" s="44"/>
      <c r="I863" s="44"/>
    </row>
    <row r="864">
      <c r="A864" s="44"/>
      <c r="B864" s="44"/>
      <c r="C864" s="71"/>
      <c r="D864" s="44"/>
      <c r="E864" s="44"/>
      <c r="F864" s="44"/>
      <c r="G864" s="44"/>
      <c r="H864" s="44"/>
      <c r="I864" s="44"/>
    </row>
    <row r="865">
      <c r="A865" s="44"/>
      <c r="B865" s="44"/>
      <c r="C865" s="71"/>
      <c r="D865" s="44"/>
      <c r="E865" s="44"/>
      <c r="F865" s="44"/>
      <c r="G865" s="44"/>
      <c r="H865" s="44"/>
      <c r="I865" s="44"/>
    </row>
    <row r="866">
      <c r="A866" s="44"/>
      <c r="B866" s="44"/>
      <c r="C866" s="71"/>
      <c r="D866" s="44"/>
      <c r="E866" s="44"/>
      <c r="F866" s="44"/>
      <c r="G866" s="44"/>
      <c r="H866" s="44"/>
      <c r="I866" s="44"/>
    </row>
    <row r="867">
      <c r="A867" s="44"/>
      <c r="B867" s="44"/>
      <c r="C867" s="71"/>
      <c r="D867" s="44"/>
      <c r="E867" s="44"/>
      <c r="F867" s="44"/>
      <c r="G867" s="44"/>
      <c r="H867" s="44"/>
      <c r="I867" s="44"/>
    </row>
    <row r="868">
      <c r="A868" s="44"/>
      <c r="B868" s="44"/>
      <c r="C868" s="71"/>
      <c r="D868" s="44"/>
      <c r="E868" s="44"/>
      <c r="F868" s="44"/>
      <c r="G868" s="44"/>
      <c r="H868" s="44"/>
      <c r="I868" s="44"/>
    </row>
    <row r="869">
      <c r="A869" s="44"/>
      <c r="B869" s="44"/>
      <c r="C869" s="71"/>
      <c r="D869" s="44"/>
      <c r="E869" s="44"/>
      <c r="F869" s="44"/>
      <c r="G869" s="44"/>
      <c r="H869" s="44"/>
      <c r="I869" s="44"/>
    </row>
    <row r="870">
      <c r="A870" s="44"/>
      <c r="B870" s="44"/>
      <c r="C870" s="71"/>
      <c r="D870" s="44"/>
      <c r="E870" s="44"/>
      <c r="F870" s="44"/>
      <c r="G870" s="44"/>
      <c r="H870" s="44"/>
      <c r="I870" s="44"/>
    </row>
    <row r="871">
      <c r="A871" s="44"/>
      <c r="B871" s="44"/>
      <c r="C871" s="71"/>
      <c r="D871" s="44"/>
      <c r="E871" s="44"/>
      <c r="F871" s="44"/>
      <c r="G871" s="44"/>
      <c r="H871" s="44"/>
      <c r="I871" s="44"/>
    </row>
    <row r="872">
      <c r="A872" s="44"/>
      <c r="B872" s="44"/>
      <c r="C872" s="71"/>
      <c r="D872" s="44"/>
      <c r="E872" s="44"/>
      <c r="F872" s="44"/>
      <c r="G872" s="44"/>
      <c r="H872" s="44"/>
      <c r="I872" s="44"/>
    </row>
    <row r="873">
      <c r="A873" s="44"/>
      <c r="B873" s="44"/>
      <c r="C873" s="71"/>
      <c r="D873" s="44"/>
      <c r="E873" s="44"/>
      <c r="F873" s="44"/>
      <c r="G873" s="44"/>
      <c r="H873" s="44"/>
      <c r="I873" s="44"/>
    </row>
    <row r="874">
      <c r="A874" s="44"/>
      <c r="B874" s="44"/>
      <c r="C874" s="71"/>
      <c r="D874" s="44"/>
      <c r="E874" s="44"/>
      <c r="F874" s="44"/>
      <c r="G874" s="44"/>
      <c r="H874" s="44"/>
      <c r="I874" s="44"/>
    </row>
    <row r="875">
      <c r="A875" s="44"/>
      <c r="B875" s="44"/>
      <c r="C875" s="71"/>
      <c r="D875" s="44"/>
      <c r="E875" s="44"/>
      <c r="F875" s="44"/>
      <c r="G875" s="44"/>
      <c r="H875" s="44"/>
      <c r="I875" s="44"/>
    </row>
    <row r="876">
      <c r="A876" s="44"/>
      <c r="B876" s="44"/>
      <c r="C876" s="71"/>
      <c r="D876" s="44"/>
      <c r="E876" s="44"/>
      <c r="F876" s="44"/>
      <c r="G876" s="44"/>
      <c r="H876" s="44"/>
      <c r="I876" s="44"/>
    </row>
    <row r="877">
      <c r="A877" s="44"/>
      <c r="B877" s="44"/>
      <c r="C877" s="71"/>
      <c r="D877" s="44"/>
      <c r="E877" s="44"/>
      <c r="F877" s="44"/>
      <c r="G877" s="44"/>
      <c r="H877" s="44"/>
      <c r="I877" s="44"/>
    </row>
    <row r="878">
      <c r="A878" s="44"/>
      <c r="B878" s="44"/>
      <c r="C878" s="71"/>
      <c r="D878" s="44"/>
      <c r="E878" s="44"/>
      <c r="F878" s="44"/>
      <c r="G878" s="44"/>
      <c r="H878" s="44"/>
      <c r="I878" s="44"/>
    </row>
    <row r="879">
      <c r="A879" s="44"/>
      <c r="B879" s="44"/>
      <c r="C879" s="71"/>
      <c r="D879" s="44"/>
      <c r="E879" s="44"/>
      <c r="F879" s="44"/>
      <c r="G879" s="44"/>
      <c r="H879" s="44"/>
      <c r="I879" s="44"/>
    </row>
    <row r="880">
      <c r="A880" s="44"/>
      <c r="B880" s="44"/>
      <c r="C880" s="71"/>
      <c r="D880" s="44"/>
      <c r="E880" s="44"/>
      <c r="F880" s="44"/>
      <c r="G880" s="44"/>
      <c r="H880" s="44"/>
      <c r="I880" s="44"/>
    </row>
    <row r="881">
      <c r="A881" s="44"/>
      <c r="B881" s="44"/>
      <c r="C881" s="71"/>
      <c r="D881" s="44"/>
      <c r="E881" s="44"/>
      <c r="F881" s="44"/>
      <c r="G881" s="44"/>
      <c r="H881" s="44"/>
      <c r="I881" s="44"/>
    </row>
    <row r="882">
      <c r="A882" s="44"/>
      <c r="B882" s="44"/>
      <c r="C882" s="71"/>
      <c r="D882" s="44"/>
      <c r="E882" s="44"/>
      <c r="F882" s="44"/>
      <c r="G882" s="44"/>
      <c r="H882" s="44"/>
      <c r="I882" s="44"/>
    </row>
    <row r="883">
      <c r="A883" s="44"/>
      <c r="B883" s="44"/>
      <c r="C883" s="71"/>
      <c r="D883" s="44"/>
      <c r="E883" s="44"/>
      <c r="F883" s="44"/>
      <c r="G883" s="44"/>
      <c r="H883" s="44"/>
      <c r="I883" s="44"/>
    </row>
    <row r="884">
      <c r="A884" s="44"/>
      <c r="B884" s="44"/>
      <c r="C884" s="71"/>
      <c r="D884" s="44"/>
      <c r="E884" s="44"/>
      <c r="F884" s="44"/>
      <c r="G884" s="44"/>
      <c r="H884" s="44"/>
      <c r="I884" s="44"/>
    </row>
    <row r="885">
      <c r="A885" s="44"/>
      <c r="B885" s="44"/>
      <c r="C885" s="71"/>
      <c r="D885" s="44"/>
      <c r="E885" s="44"/>
      <c r="F885" s="44"/>
      <c r="G885" s="44"/>
      <c r="H885" s="44"/>
      <c r="I885" s="44"/>
    </row>
    <row r="886">
      <c r="A886" s="44"/>
      <c r="B886" s="44"/>
      <c r="C886" s="71"/>
      <c r="D886" s="44"/>
      <c r="E886" s="44"/>
      <c r="F886" s="44"/>
      <c r="G886" s="44"/>
      <c r="H886" s="44"/>
      <c r="I886" s="44"/>
    </row>
    <row r="887">
      <c r="A887" s="44"/>
      <c r="B887" s="44"/>
      <c r="C887" s="71"/>
      <c r="D887" s="44"/>
      <c r="E887" s="44"/>
      <c r="F887" s="44"/>
      <c r="G887" s="44"/>
      <c r="H887" s="44"/>
      <c r="I887" s="44"/>
    </row>
    <row r="888">
      <c r="A888" s="44"/>
      <c r="B888" s="44"/>
      <c r="C888" s="71"/>
      <c r="D888" s="44"/>
      <c r="E888" s="44"/>
      <c r="F888" s="44"/>
      <c r="G888" s="44"/>
      <c r="H888" s="44"/>
      <c r="I888" s="44"/>
    </row>
    <row r="889">
      <c r="A889" s="44"/>
      <c r="B889" s="44"/>
      <c r="C889" s="71"/>
      <c r="D889" s="44"/>
      <c r="E889" s="44"/>
      <c r="F889" s="44"/>
      <c r="G889" s="44"/>
      <c r="H889" s="44"/>
      <c r="I889" s="44"/>
    </row>
    <row r="890">
      <c r="A890" s="44"/>
      <c r="B890" s="44"/>
      <c r="C890" s="71"/>
      <c r="D890" s="44"/>
      <c r="E890" s="44"/>
      <c r="F890" s="44"/>
      <c r="G890" s="44"/>
      <c r="H890" s="44"/>
      <c r="I890" s="44"/>
    </row>
    <row r="891">
      <c r="A891" s="44"/>
      <c r="B891" s="44"/>
      <c r="C891" s="71"/>
      <c r="D891" s="44"/>
      <c r="E891" s="44"/>
      <c r="F891" s="44"/>
      <c r="G891" s="44"/>
      <c r="H891" s="44"/>
      <c r="I891" s="44"/>
    </row>
    <row r="892">
      <c r="A892" s="44"/>
      <c r="B892" s="44"/>
      <c r="C892" s="71"/>
      <c r="D892" s="44"/>
      <c r="E892" s="44"/>
      <c r="F892" s="44"/>
      <c r="G892" s="44"/>
      <c r="H892" s="44"/>
      <c r="I892" s="44"/>
    </row>
    <row r="893">
      <c r="A893" s="44"/>
      <c r="B893" s="44"/>
      <c r="C893" s="71"/>
      <c r="D893" s="44"/>
      <c r="E893" s="44"/>
      <c r="F893" s="44"/>
      <c r="G893" s="44"/>
      <c r="H893" s="44"/>
      <c r="I893" s="44"/>
    </row>
    <row r="894">
      <c r="A894" s="44"/>
      <c r="B894" s="44"/>
      <c r="C894" s="71"/>
      <c r="D894" s="44"/>
      <c r="E894" s="44"/>
      <c r="F894" s="44"/>
      <c r="G894" s="44"/>
      <c r="H894" s="44"/>
      <c r="I894" s="44"/>
    </row>
    <row r="895">
      <c r="A895" s="44"/>
      <c r="B895" s="44"/>
      <c r="C895" s="71"/>
      <c r="D895" s="44"/>
      <c r="E895" s="44"/>
      <c r="F895" s="44"/>
      <c r="G895" s="44"/>
      <c r="H895" s="44"/>
      <c r="I895" s="44"/>
    </row>
    <row r="896">
      <c r="A896" s="44"/>
      <c r="B896" s="44"/>
      <c r="C896" s="71"/>
      <c r="D896" s="44"/>
      <c r="E896" s="44"/>
      <c r="F896" s="44"/>
      <c r="G896" s="44"/>
      <c r="H896" s="44"/>
      <c r="I896" s="44"/>
    </row>
    <row r="897">
      <c r="A897" s="44"/>
      <c r="B897" s="44"/>
      <c r="C897" s="71"/>
      <c r="D897" s="44"/>
      <c r="E897" s="44"/>
      <c r="F897" s="44"/>
      <c r="G897" s="44"/>
      <c r="H897" s="44"/>
      <c r="I897" s="44"/>
    </row>
    <row r="898">
      <c r="A898" s="44"/>
      <c r="B898" s="44"/>
      <c r="C898" s="71"/>
      <c r="D898" s="44"/>
      <c r="E898" s="44"/>
      <c r="F898" s="44"/>
      <c r="G898" s="44"/>
      <c r="H898" s="44"/>
      <c r="I898" s="44"/>
    </row>
    <row r="899">
      <c r="A899" s="44"/>
      <c r="B899" s="44"/>
      <c r="C899" s="71"/>
      <c r="D899" s="44"/>
      <c r="E899" s="44"/>
      <c r="F899" s="44"/>
      <c r="G899" s="44"/>
      <c r="H899" s="44"/>
      <c r="I899" s="44"/>
    </row>
    <row r="900">
      <c r="A900" s="44"/>
      <c r="B900" s="44"/>
      <c r="C900" s="71"/>
      <c r="D900" s="44"/>
      <c r="E900" s="44"/>
      <c r="F900" s="44"/>
      <c r="G900" s="44"/>
      <c r="H900" s="44"/>
      <c r="I900" s="44"/>
    </row>
    <row r="901">
      <c r="A901" s="44"/>
      <c r="B901" s="44"/>
      <c r="C901" s="71"/>
      <c r="D901" s="44"/>
      <c r="E901" s="44"/>
      <c r="F901" s="44"/>
      <c r="G901" s="44"/>
      <c r="H901" s="44"/>
      <c r="I901" s="44"/>
    </row>
    <row r="902">
      <c r="A902" s="44"/>
      <c r="B902" s="44"/>
      <c r="C902" s="71"/>
      <c r="D902" s="44"/>
      <c r="E902" s="44"/>
      <c r="F902" s="44"/>
      <c r="G902" s="44"/>
      <c r="H902" s="44"/>
      <c r="I902" s="44"/>
    </row>
    <row r="903">
      <c r="A903" s="44"/>
      <c r="B903" s="44"/>
      <c r="C903" s="71"/>
      <c r="D903" s="44"/>
      <c r="E903" s="44"/>
      <c r="F903" s="44"/>
      <c r="G903" s="44"/>
      <c r="H903" s="44"/>
      <c r="I903" s="44"/>
    </row>
    <row r="904">
      <c r="A904" s="44"/>
      <c r="B904" s="44"/>
      <c r="C904" s="71"/>
      <c r="D904" s="44"/>
      <c r="E904" s="44"/>
      <c r="F904" s="44"/>
      <c r="G904" s="44"/>
      <c r="H904" s="44"/>
      <c r="I904" s="44"/>
    </row>
    <row r="905">
      <c r="A905" s="44"/>
      <c r="B905" s="44"/>
      <c r="C905" s="71"/>
      <c r="D905" s="44"/>
      <c r="E905" s="44"/>
      <c r="F905" s="44"/>
      <c r="G905" s="44"/>
      <c r="H905" s="44"/>
      <c r="I905" s="44"/>
    </row>
    <row r="906">
      <c r="A906" s="44"/>
      <c r="B906" s="44"/>
      <c r="C906" s="71"/>
      <c r="D906" s="44"/>
      <c r="E906" s="44"/>
      <c r="F906" s="44"/>
      <c r="G906" s="44"/>
      <c r="H906" s="44"/>
      <c r="I906" s="44"/>
    </row>
    <row r="907">
      <c r="A907" s="44"/>
      <c r="B907" s="44"/>
      <c r="C907" s="71"/>
      <c r="D907" s="44"/>
      <c r="E907" s="44"/>
      <c r="F907" s="44"/>
      <c r="G907" s="44"/>
      <c r="H907" s="44"/>
      <c r="I907" s="44"/>
    </row>
    <row r="908">
      <c r="A908" s="44"/>
      <c r="B908" s="44"/>
      <c r="C908" s="71"/>
      <c r="D908" s="44"/>
      <c r="E908" s="44"/>
      <c r="F908" s="44"/>
      <c r="G908" s="44"/>
      <c r="H908" s="44"/>
      <c r="I908" s="44"/>
    </row>
    <row r="909">
      <c r="A909" s="44"/>
      <c r="B909" s="44"/>
      <c r="C909" s="71"/>
      <c r="D909" s="44"/>
      <c r="E909" s="44"/>
      <c r="F909" s="44"/>
      <c r="G909" s="44"/>
      <c r="H909" s="44"/>
      <c r="I909" s="44"/>
    </row>
    <row r="910">
      <c r="A910" s="44"/>
      <c r="B910" s="44"/>
      <c r="C910" s="71"/>
      <c r="D910" s="44"/>
      <c r="E910" s="44"/>
      <c r="F910" s="44"/>
      <c r="G910" s="44"/>
      <c r="H910" s="44"/>
      <c r="I910" s="44"/>
    </row>
    <row r="911">
      <c r="A911" s="44"/>
      <c r="B911" s="44"/>
      <c r="C911" s="71"/>
      <c r="D911" s="44"/>
      <c r="E911" s="44"/>
      <c r="F911" s="44"/>
      <c r="G911" s="44"/>
      <c r="H911" s="44"/>
      <c r="I911" s="44"/>
    </row>
    <row r="912">
      <c r="A912" s="44"/>
      <c r="B912" s="44"/>
      <c r="C912" s="71"/>
      <c r="D912" s="44"/>
      <c r="E912" s="44"/>
      <c r="F912" s="44"/>
      <c r="G912" s="44"/>
      <c r="H912" s="44"/>
      <c r="I912" s="44"/>
    </row>
    <row r="913">
      <c r="A913" s="44"/>
      <c r="B913" s="44"/>
      <c r="C913" s="71"/>
      <c r="D913" s="44"/>
      <c r="E913" s="44"/>
      <c r="F913" s="44"/>
      <c r="G913" s="44"/>
      <c r="H913" s="44"/>
      <c r="I913" s="44"/>
    </row>
    <row r="914">
      <c r="A914" s="44"/>
      <c r="B914" s="44"/>
      <c r="C914" s="71"/>
      <c r="D914" s="44"/>
      <c r="E914" s="44"/>
      <c r="F914" s="44"/>
      <c r="G914" s="44"/>
      <c r="H914" s="44"/>
      <c r="I914" s="44"/>
    </row>
    <row r="915">
      <c r="A915" s="44"/>
      <c r="B915" s="44"/>
      <c r="C915" s="71"/>
      <c r="D915" s="44"/>
      <c r="E915" s="44"/>
      <c r="F915" s="44"/>
      <c r="G915" s="44"/>
      <c r="H915" s="44"/>
      <c r="I915" s="44"/>
    </row>
    <row r="916">
      <c r="A916" s="44"/>
      <c r="B916" s="44"/>
      <c r="C916" s="71"/>
      <c r="D916" s="44"/>
      <c r="E916" s="44"/>
      <c r="F916" s="44"/>
      <c r="G916" s="44"/>
      <c r="H916" s="44"/>
      <c r="I916" s="44"/>
    </row>
    <row r="917">
      <c r="A917" s="44"/>
      <c r="B917" s="44"/>
      <c r="C917" s="71"/>
      <c r="D917" s="44"/>
      <c r="E917" s="44"/>
      <c r="F917" s="44"/>
      <c r="G917" s="44"/>
      <c r="H917" s="44"/>
      <c r="I917" s="44"/>
    </row>
    <row r="918">
      <c r="A918" s="44"/>
      <c r="B918" s="44"/>
      <c r="C918" s="71"/>
      <c r="D918" s="44"/>
      <c r="E918" s="44"/>
      <c r="F918" s="44"/>
      <c r="G918" s="44"/>
      <c r="H918" s="44"/>
      <c r="I918" s="44"/>
    </row>
    <row r="919">
      <c r="A919" s="44"/>
      <c r="B919" s="44"/>
      <c r="C919" s="71"/>
      <c r="D919" s="44"/>
      <c r="E919" s="44"/>
      <c r="F919" s="44"/>
      <c r="G919" s="44"/>
      <c r="H919" s="44"/>
      <c r="I919" s="44"/>
    </row>
    <row r="920">
      <c r="A920" s="44"/>
      <c r="B920" s="44"/>
      <c r="C920" s="71"/>
      <c r="D920" s="44"/>
      <c r="E920" s="44"/>
      <c r="F920" s="44"/>
      <c r="G920" s="44"/>
      <c r="H920" s="44"/>
      <c r="I920" s="44"/>
    </row>
    <row r="921">
      <c r="A921" s="44"/>
      <c r="B921" s="44"/>
      <c r="C921" s="71"/>
      <c r="D921" s="44"/>
      <c r="E921" s="44"/>
      <c r="F921" s="44"/>
      <c r="G921" s="44"/>
      <c r="H921" s="44"/>
      <c r="I921" s="44"/>
    </row>
    <row r="922">
      <c r="A922" s="44"/>
      <c r="B922" s="44"/>
      <c r="C922" s="71"/>
      <c r="D922" s="44"/>
      <c r="E922" s="44"/>
      <c r="F922" s="44"/>
      <c r="G922" s="44"/>
      <c r="H922" s="44"/>
      <c r="I922" s="44"/>
    </row>
    <row r="923">
      <c r="A923" s="44"/>
      <c r="B923" s="44"/>
      <c r="C923" s="71"/>
      <c r="D923" s="44"/>
      <c r="E923" s="44"/>
      <c r="F923" s="44"/>
      <c r="G923" s="44"/>
      <c r="H923" s="44"/>
      <c r="I923" s="44"/>
    </row>
    <row r="924">
      <c r="A924" s="44"/>
      <c r="B924" s="44"/>
      <c r="C924" s="71"/>
      <c r="D924" s="44"/>
      <c r="E924" s="44"/>
      <c r="F924" s="44"/>
      <c r="G924" s="44"/>
      <c r="H924" s="44"/>
      <c r="I924" s="44"/>
    </row>
    <row r="925">
      <c r="A925" s="44"/>
      <c r="B925" s="44"/>
      <c r="C925" s="71"/>
      <c r="D925" s="44"/>
      <c r="E925" s="44"/>
      <c r="F925" s="44"/>
      <c r="G925" s="44"/>
      <c r="H925" s="44"/>
      <c r="I925" s="44"/>
    </row>
    <row r="926">
      <c r="A926" s="44"/>
      <c r="B926" s="44"/>
      <c r="C926" s="71"/>
      <c r="D926" s="44"/>
      <c r="E926" s="44"/>
      <c r="F926" s="44"/>
      <c r="G926" s="44"/>
      <c r="H926" s="44"/>
      <c r="I926" s="44"/>
    </row>
    <row r="927">
      <c r="A927" s="44"/>
      <c r="B927" s="44"/>
      <c r="C927" s="71"/>
      <c r="D927" s="44"/>
      <c r="E927" s="44"/>
      <c r="F927" s="44"/>
      <c r="G927" s="44"/>
      <c r="H927" s="44"/>
      <c r="I927" s="44"/>
    </row>
    <row r="928">
      <c r="A928" s="44"/>
      <c r="B928" s="44"/>
      <c r="C928" s="71"/>
      <c r="D928" s="44"/>
      <c r="E928" s="44"/>
      <c r="F928" s="44"/>
      <c r="G928" s="44"/>
      <c r="H928" s="44"/>
      <c r="I928" s="44"/>
    </row>
    <row r="929">
      <c r="A929" s="44"/>
      <c r="B929" s="44"/>
      <c r="C929" s="71"/>
      <c r="D929" s="44"/>
      <c r="E929" s="44"/>
      <c r="F929" s="44"/>
      <c r="G929" s="44"/>
      <c r="H929" s="44"/>
      <c r="I929" s="44"/>
    </row>
    <row r="930">
      <c r="A930" s="44"/>
      <c r="B930" s="44"/>
      <c r="C930" s="71"/>
      <c r="D930" s="44"/>
      <c r="E930" s="44"/>
      <c r="F930" s="44"/>
      <c r="G930" s="44"/>
      <c r="H930" s="44"/>
      <c r="I930" s="44"/>
    </row>
    <row r="931">
      <c r="A931" s="44"/>
      <c r="B931" s="44"/>
      <c r="C931" s="71"/>
      <c r="D931" s="44"/>
      <c r="E931" s="44"/>
      <c r="F931" s="44"/>
      <c r="G931" s="44"/>
      <c r="H931" s="44"/>
      <c r="I931" s="44"/>
    </row>
    <row r="932">
      <c r="A932" s="44"/>
      <c r="B932" s="44"/>
      <c r="C932" s="71"/>
      <c r="D932" s="44"/>
      <c r="E932" s="44"/>
      <c r="F932" s="44"/>
      <c r="G932" s="44"/>
      <c r="H932" s="44"/>
      <c r="I932" s="44"/>
    </row>
    <row r="933">
      <c r="A933" s="44"/>
      <c r="B933" s="44"/>
      <c r="C933" s="71"/>
      <c r="D933" s="44"/>
      <c r="E933" s="44"/>
      <c r="F933" s="44"/>
      <c r="G933" s="44"/>
      <c r="H933" s="44"/>
      <c r="I933" s="44"/>
    </row>
    <row r="934">
      <c r="A934" s="44"/>
      <c r="B934" s="44"/>
      <c r="C934" s="71"/>
      <c r="D934" s="44"/>
      <c r="E934" s="44"/>
      <c r="F934" s="44"/>
      <c r="G934" s="44"/>
      <c r="H934" s="44"/>
      <c r="I934" s="44"/>
    </row>
    <row r="935">
      <c r="A935" s="44"/>
      <c r="B935" s="44"/>
      <c r="C935" s="71"/>
      <c r="D935" s="44"/>
      <c r="E935" s="44"/>
      <c r="F935" s="44"/>
      <c r="G935" s="44"/>
      <c r="H935" s="44"/>
      <c r="I935" s="44"/>
    </row>
    <row r="936">
      <c r="A936" s="44"/>
      <c r="B936" s="44"/>
      <c r="C936" s="71"/>
      <c r="D936" s="44"/>
      <c r="E936" s="44"/>
      <c r="F936" s="44"/>
      <c r="G936" s="44"/>
      <c r="H936" s="44"/>
      <c r="I936" s="44"/>
    </row>
    <row r="937">
      <c r="A937" s="44"/>
      <c r="B937" s="44"/>
      <c r="C937" s="71"/>
      <c r="D937" s="44"/>
      <c r="E937" s="44"/>
      <c r="F937" s="44"/>
      <c r="G937" s="44"/>
      <c r="H937" s="44"/>
      <c r="I937" s="44"/>
    </row>
    <row r="938">
      <c r="A938" s="44"/>
      <c r="B938" s="44"/>
      <c r="C938" s="71"/>
      <c r="D938" s="44"/>
      <c r="E938" s="44"/>
      <c r="F938" s="44"/>
      <c r="G938" s="44"/>
      <c r="H938" s="44"/>
      <c r="I938" s="44"/>
    </row>
    <row r="939">
      <c r="A939" s="44"/>
      <c r="B939" s="44"/>
      <c r="C939" s="71"/>
      <c r="D939" s="44"/>
      <c r="E939" s="44"/>
      <c r="F939" s="44"/>
      <c r="G939" s="44"/>
      <c r="H939" s="44"/>
      <c r="I939" s="44"/>
    </row>
    <row r="940">
      <c r="A940" s="44"/>
      <c r="B940" s="44"/>
      <c r="C940" s="71"/>
      <c r="D940" s="44"/>
      <c r="E940" s="44"/>
      <c r="F940" s="44"/>
      <c r="G940" s="44"/>
      <c r="H940" s="44"/>
      <c r="I940" s="44"/>
    </row>
    <row r="941">
      <c r="A941" s="44"/>
      <c r="B941" s="44"/>
      <c r="C941" s="71"/>
      <c r="D941" s="44"/>
      <c r="E941" s="44"/>
      <c r="F941" s="44"/>
      <c r="G941" s="44"/>
      <c r="H941" s="44"/>
      <c r="I941" s="44"/>
    </row>
    <row r="942">
      <c r="A942" s="44"/>
      <c r="B942" s="44"/>
      <c r="C942" s="71"/>
      <c r="D942" s="44"/>
      <c r="E942" s="44"/>
      <c r="F942" s="44"/>
      <c r="G942" s="44"/>
      <c r="H942" s="44"/>
      <c r="I942" s="44"/>
    </row>
    <row r="943">
      <c r="A943" s="44"/>
      <c r="B943" s="44"/>
      <c r="C943" s="71"/>
      <c r="D943" s="44"/>
      <c r="E943" s="44"/>
      <c r="F943" s="44"/>
      <c r="G943" s="44"/>
      <c r="H943" s="44"/>
      <c r="I943" s="44"/>
    </row>
    <row r="944">
      <c r="A944" s="44"/>
      <c r="B944" s="44"/>
      <c r="C944" s="71"/>
      <c r="D944" s="44"/>
      <c r="E944" s="44"/>
      <c r="F944" s="44"/>
      <c r="G944" s="44"/>
      <c r="H944" s="44"/>
      <c r="I944" s="44"/>
    </row>
    <row r="945">
      <c r="A945" s="44"/>
      <c r="B945" s="44"/>
      <c r="C945" s="71"/>
      <c r="D945" s="44"/>
      <c r="E945" s="44"/>
      <c r="F945" s="44"/>
      <c r="G945" s="44"/>
      <c r="H945" s="44"/>
      <c r="I945" s="44"/>
    </row>
    <row r="946">
      <c r="A946" s="44"/>
      <c r="B946" s="44"/>
      <c r="C946" s="71"/>
      <c r="D946" s="44"/>
      <c r="E946" s="44"/>
      <c r="F946" s="44"/>
      <c r="G946" s="44"/>
      <c r="H946" s="44"/>
      <c r="I946" s="44"/>
    </row>
    <row r="947">
      <c r="A947" s="44"/>
      <c r="B947" s="44"/>
      <c r="C947" s="71"/>
      <c r="D947" s="44"/>
      <c r="E947" s="44"/>
      <c r="F947" s="44"/>
      <c r="G947" s="44"/>
      <c r="H947" s="44"/>
      <c r="I947" s="44"/>
    </row>
    <row r="948">
      <c r="A948" s="44"/>
      <c r="B948" s="44"/>
      <c r="C948" s="71"/>
      <c r="D948" s="44"/>
      <c r="E948" s="44"/>
      <c r="F948" s="44"/>
      <c r="G948" s="44"/>
      <c r="H948" s="44"/>
      <c r="I948" s="44"/>
    </row>
    <row r="949">
      <c r="A949" s="44"/>
      <c r="B949" s="44"/>
      <c r="C949" s="71"/>
      <c r="D949" s="44"/>
      <c r="E949" s="44"/>
      <c r="F949" s="44"/>
      <c r="G949" s="44"/>
      <c r="H949" s="44"/>
      <c r="I949" s="44"/>
    </row>
    <row r="950">
      <c r="A950" s="44"/>
      <c r="B950" s="44"/>
      <c r="C950" s="71"/>
      <c r="D950" s="44"/>
      <c r="E950" s="44"/>
      <c r="F950" s="44"/>
      <c r="G950" s="44"/>
      <c r="H950" s="44"/>
      <c r="I950" s="44"/>
    </row>
    <row r="951">
      <c r="A951" s="44"/>
      <c r="B951" s="44"/>
      <c r="C951" s="71"/>
      <c r="D951" s="44"/>
      <c r="E951" s="44"/>
      <c r="F951" s="44"/>
      <c r="G951" s="44"/>
      <c r="H951" s="44"/>
      <c r="I951" s="44"/>
    </row>
    <row r="952">
      <c r="A952" s="44"/>
      <c r="B952" s="44"/>
      <c r="C952" s="71"/>
      <c r="D952" s="44"/>
      <c r="E952" s="44"/>
      <c r="F952" s="44"/>
      <c r="G952" s="44"/>
      <c r="H952" s="44"/>
      <c r="I952" s="44"/>
    </row>
    <row r="953">
      <c r="A953" s="44"/>
      <c r="B953" s="44"/>
      <c r="C953" s="71"/>
      <c r="D953" s="44"/>
      <c r="E953" s="44"/>
      <c r="F953" s="44"/>
      <c r="G953" s="44"/>
      <c r="H953" s="44"/>
      <c r="I953" s="44"/>
    </row>
    <row r="954">
      <c r="A954" s="44"/>
      <c r="B954" s="44"/>
      <c r="C954" s="71"/>
      <c r="D954" s="44"/>
      <c r="E954" s="44"/>
      <c r="F954" s="44"/>
      <c r="G954" s="44"/>
      <c r="H954" s="44"/>
      <c r="I954" s="44"/>
    </row>
    <row r="955">
      <c r="A955" s="44"/>
      <c r="B955" s="44"/>
      <c r="C955" s="71"/>
      <c r="D955" s="44"/>
      <c r="E955" s="44"/>
      <c r="F955" s="44"/>
      <c r="G955" s="44"/>
      <c r="H955" s="44"/>
      <c r="I955" s="44"/>
    </row>
    <row r="956">
      <c r="A956" s="44"/>
      <c r="B956" s="44"/>
      <c r="C956" s="71"/>
      <c r="D956" s="44"/>
      <c r="E956" s="44"/>
      <c r="F956" s="44"/>
      <c r="G956" s="44"/>
      <c r="H956" s="44"/>
      <c r="I956" s="44"/>
    </row>
    <row r="957">
      <c r="A957" s="44"/>
      <c r="B957" s="44"/>
      <c r="C957" s="71"/>
      <c r="D957" s="44"/>
      <c r="E957" s="44"/>
      <c r="F957" s="44"/>
      <c r="G957" s="44"/>
      <c r="H957" s="44"/>
      <c r="I957" s="44"/>
    </row>
    <row r="958">
      <c r="A958" s="44"/>
      <c r="B958" s="44"/>
      <c r="C958" s="71"/>
      <c r="D958" s="44"/>
      <c r="E958" s="44"/>
      <c r="F958" s="44"/>
      <c r="G958" s="44"/>
      <c r="H958" s="44"/>
      <c r="I958" s="44"/>
    </row>
    <row r="959">
      <c r="A959" s="44"/>
      <c r="B959" s="44"/>
      <c r="C959" s="71"/>
      <c r="D959" s="44"/>
      <c r="E959" s="44"/>
      <c r="F959" s="44"/>
      <c r="G959" s="44"/>
      <c r="H959" s="44"/>
      <c r="I959" s="44"/>
    </row>
    <row r="960">
      <c r="A960" s="44"/>
      <c r="B960" s="44"/>
      <c r="C960" s="71"/>
      <c r="D960" s="44"/>
      <c r="E960" s="44"/>
      <c r="F960" s="44"/>
      <c r="G960" s="44"/>
      <c r="H960" s="44"/>
      <c r="I960" s="44"/>
    </row>
    <row r="961">
      <c r="A961" s="44"/>
      <c r="B961" s="44"/>
      <c r="C961" s="71"/>
      <c r="D961" s="44"/>
      <c r="E961" s="44"/>
      <c r="F961" s="44"/>
      <c r="G961" s="44"/>
      <c r="H961" s="44"/>
      <c r="I961" s="44"/>
    </row>
    <row r="962">
      <c r="A962" s="44"/>
      <c r="B962" s="44"/>
      <c r="C962" s="71"/>
      <c r="D962" s="44"/>
      <c r="E962" s="44"/>
      <c r="F962" s="44"/>
      <c r="G962" s="44"/>
      <c r="H962" s="44"/>
      <c r="I962" s="44"/>
    </row>
    <row r="963">
      <c r="A963" s="44"/>
      <c r="B963" s="44"/>
      <c r="C963" s="71"/>
      <c r="D963" s="44"/>
      <c r="E963" s="44"/>
      <c r="F963" s="44"/>
      <c r="G963" s="44"/>
      <c r="H963" s="44"/>
      <c r="I963" s="44"/>
    </row>
    <row r="964">
      <c r="A964" s="44"/>
      <c r="B964" s="44"/>
      <c r="C964" s="71"/>
      <c r="D964" s="44"/>
      <c r="E964" s="44"/>
      <c r="F964" s="44"/>
      <c r="G964" s="44"/>
      <c r="H964" s="44"/>
      <c r="I964" s="44"/>
    </row>
    <row r="965">
      <c r="A965" s="44"/>
      <c r="B965" s="44"/>
      <c r="C965" s="71"/>
      <c r="D965" s="44"/>
      <c r="E965" s="44"/>
      <c r="F965" s="44"/>
      <c r="G965" s="44"/>
      <c r="H965" s="44"/>
      <c r="I965" s="44"/>
    </row>
    <row r="966">
      <c r="A966" s="44"/>
      <c r="B966" s="44"/>
      <c r="C966" s="71"/>
      <c r="D966" s="44"/>
      <c r="E966" s="44"/>
      <c r="F966" s="44"/>
      <c r="G966" s="44"/>
      <c r="H966" s="44"/>
      <c r="I966" s="44"/>
    </row>
    <row r="967">
      <c r="A967" s="44"/>
      <c r="B967" s="44"/>
      <c r="C967" s="71"/>
      <c r="D967" s="44"/>
      <c r="E967" s="44"/>
      <c r="F967" s="44"/>
      <c r="G967" s="44"/>
      <c r="H967" s="44"/>
      <c r="I967" s="44"/>
    </row>
    <row r="968">
      <c r="A968" s="44"/>
      <c r="B968" s="44"/>
      <c r="C968" s="71"/>
      <c r="D968" s="44"/>
      <c r="E968" s="44"/>
      <c r="F968" s="44"/>
      <c r="G968" s="44"/>
      <c r="H968" s="44"/>
      <c r="I968" s="44"/>
    </row>
    <row r="969">
      <c r="A969" s="44"/>
      <c r="B969" s="44"/>
      <c r="C969" s="71"/>
      <c r="D969" s="44"/>
      <c r="E969" s="44"/>
      <c r="F969" s="44"/>
      <c r="G969" s="44"/>
      <c r="H969" s="44"/>
      <c r="I969" s="44"/>
    </row>
    <row r="970">
      <c r="A970" s="44"/>
      <c r="B970" s="44"/>
      <c r="C970" s="71"/>
      <c r="D970" s="44"/>
      <c r="E970" s="44"/>
      <c r="F970" s="44"/>
      <c r="G970" s="44"/>
      <c r="H970" s="44"/>
      <c r="I970" s="44"/>
    </row>
    <row r="971">
      <c r="A971" s="44"/>
      <c r="B971" s="44"/>
      <c r="C971" s="71"/>
      <c r="D971" s="44"/>
      <c r="E971" s="44"/>
      <c r="F971" s="44"/>
      <c r="G971" s="44"/>
      <c r="H971" s="44"/>
      <c r="I971" s="44"/>
    </row>
    <row r="972">
      <c r="A972" s="44"/>
      <c r="B972" s="44"/>
      <c r="C972" s="71"/>
      <c r="D972" s="44"/>
      <c r="E972" s="44"/>
      <c r="F972" s="44"/>
      <c r="G972" s="44"/>
      <c r="H972" s="44"/>
      <c r="I972" s="44"/>
    </row>
    <row r="973">
      <c r="A973" s="44"/>
      <c r="B973" s="44"/>
      <c r="C973" s="71"/>
      <c r="D973" s="44"/>
      <c r="E973" s="44"/>
      <c r="F973" s="44"/>
      <c r="G973" s="44"/>
      <c r="H973" s="44"/>
      <c r="I973" s="44"/>
    </row>
    <row r="974">
      <c r="A974" s="44"/>
      <c r="B974" s="44"/>
      <c r="C974" s="71"/>
      <c r="D974" s="44"/>
      <c r="E974" s="44"/>
      <c r="F974" s="44"/>
      <c r="G974" s="44"/>
      <c r="H974" s="44"/>
      <c r="I974" s="44"/>
    </row>
    <row r="975">
      <c r="A975" s="44"/>
      <c r="B975" s="44"/>
      <c r="C975" s="71"/>
      <c r="D975" s="44"/>
      <c r="E975" s="44"/>
      <c r="F975" s="44"/>
      <c r="G975" s="44"/>
      <c r="H975" s="44"/>
      <c r="I975" s="44"/>
    </row>
    <row r="976">
      <c r="A976" s="44"/>
      <c r="B976" s="44"/>
      <c r="C976" s="71"/>
      <c r="D976" s="44"/>
      <c r="E976" s="44"/>
      <c r="F976" s="44"/>
      <c r="G976" s="44"/>
      <c r="H976" s="44"/>
      <c r="I976" s="44"/>
    </row>
    <row r="977">
      <c r="A977" s="44"/>
      <c r="B977" s="44"/>
      <c r="C977" s="71"/>
      <c r="D977" s="44"/>
      <c r="E977" s="44"/>
      <c r="F977" s="44"/>
      <c r="G977" s="44"/>
      <c r="H977" s="44"/>
      <c r="I977" s="44"/>
    </row>
    <row r="978">
      <c r="A978" s="44"/>
      <c r="B978" s="44"/>
      <c r="C978" s="71"/>
      <c r="D978" s="44"/>
      <c r="E978" s="44"/>
      <c r="F978" s="44"/>
      <c r="G978" s="44"/>
      <c r="H978" s="44"/>
      <c r="I978" s="44"/>
    </row>
    <row r="979">
      <c r="A979" s="44"/>
      <c r="B979" s="44"/>
      <c r="C979" s="71"/>
      <c r="D979" s="44"/>
      <c r="E979" s="44"/>
      <c r="F979" s="44"/>
      <c r="G979" s="44"/>
      <c r="H979" s="44"/>
      <c r="I979" s="44"/>
    </row>
    <row r="980">
      <c r="A980" s="44"/>
      <c r="B980" s="44"/>
      <c r="C980" s="71"/>
      <c r="D980" s="44"/>
      <c r="E980" s="44"/>
      <c r="F980" s="44"/>
      <c r="G980" s="44"/>
      <c r="H980" s="44"/>
      <c r="I980" s="44"/>
    </row>
    <row r="981">
      <c r="A981" s="44"/>
      <c r="B981" s="44"/>
      <c r="C981" s="71"/>
      <c r="D981" s="44"/>
      <c r="E981" s="44"/>
      <c r="F981" s="44"/>
      <c r="G981" s="44"/>
      <c r="H981" s="44"/>
      <c r="I981" s="44"/>
    </row>
    <row r="982">
      <c r="A982" s="44"/>
      <c r="B982" s="44"/>
      <c r="C982" s="71"/>
      <c r="D982" s="44"/>
      <c r="E982" s="44"/>
      <c r="F982" s="44"/>
      <c r="G982" s="44"/>
      <c r="H982" s="44"/>
      <c r="I982" s="44"/>
    </row>
    <row r="983">
      <c r="A983" s="44"/>
      <c r="B983" s="44"/>
      <c r="C983" s="71"/>
      <c r="D983" s="44"/>
      <c r="E983" s="44"/>
      <c r="F983" s="44"/>
      <c r="G983" s="44"/>
      <c r="H983" s="44"/>
      <c r="I983" s="44"/>
    </row>
    <row r="984">
      <c r="A984" s="44"/>
      <c r="B984" s="44"/>
      <c r="C984" s="71"/>
      <c r="D984" s="44"/>
      <c r="E984" s="44"/>
      <c r="F984" s="44"/>
      <c r="G984" s="44"/>
      <c r="H984" s="44"/>
      <c r="I984" s="44"/>
    </row>
    <row r="985">
      <c r="A985" s="44"/>
      <c r="B985" s="44"/>
      <c r="C985" s="71"/>
      <c r="D985" s="44"/>
      <c r="E985" s="44"/>
      <c r="F985" s="44"/>
      <c r="G985" s="44"/>
      <c r="H985" s="44"/>
      <c r="I985" s="44"/>
    </row>
    <row r="986">
      <c r="A986" s="44"/>
      <c r="B986" s="44"/>
      <c r="C986" s="71"/>
      <c r="D986" s="44"/>
      <c r="E986" s="44"/>
      <c r="F986" s="44"/>
      <c r="G986" s="44"/>
      <c r="H986" s="44"/>
      <c r="I986" s="44"/>
    </row>
    <row r="987">
      <c r="A987" s="44"/>
      <c r="B987" s="44"/>
      <c r="C987" s="71"/>
      <c r="D987" s="44"/>
      <c r="E987" s="44"/>
      <c r="F987" s="44"/>
      <c r="G987" s="44"/>
      <c r="H987" s="44"/>
      <c r="I987" s="44"/>
    </row>
    <row r="988">
      <c r="A988" s="44"/>
      <c r="B988" s="44"/>
      <c r="C988" s="71"/>
      <c r="D988" s="44"/>
      <c r="E988" s="44"/>
      <c r="F988" s="44"/>
      <c r="G988" s="44"/>
      <c r="H988" s="44"/>
      <c r="I988" s="44"/>
    </row>
    <row r="989">
      <c r="A989" s="44"/>
      <c r="B989" s="44"/>
      <c r="C989" s="71"/>
      <c r="D989" s="44"/>
      <c r="E989" s="44"/>
      <c r="F989" s="44"/>
      <c r="G989" s="44"/>
      <c r="H989" s="44"/>
      <c r="I989" s="44"/>
    </row>
    <row r="990">
      <c r="A990" s="44"/>
      <c r="B990" s="44"/>
      <c r="C990" s="71"/>
      <c r="D990" s="44"/>
      <c r="E990" s="44"/>
      <c r="F990" s="44"/>
      <c r="G990" s="44"/>
      <c r="H990" s="44"/>
      <c r="I990" s="44"/>
    </row>
    <row r="991">
      <c r="A991" s="44"/>
      <c r="B991" s="44"/>
      <c r="C991" s="71"/>
      <c r="D991" s="44"/>
      <c r="E991" s="44"/>
      <c r="F991" s="44"/>
      <c r="G991" s="44"/>
      <c r="H991" s="44"/>
      <c r="I991" s="44"/>
    </row>
    <row r="992">
      <c r="A992" s="44"/>
      <c r="B992" s="44"/>
      <c r="C992" s="71"/>
      <c r="D992" s="44"/>
      <c r="E992" s="44"/>
      <c r="F992" s="44"/>
      <c r="G992" s="44"/>
      <c r="H992" s="44"/>
      <c r="I992" s="44"/>
    </row>
    <row r="993">
      <c r="A993" s="44"/>
      <c r="B993" s="44"/>
      <c r="C993" s="71"/>
      <c r="D993" s="44"/>
      <c r="E993" s="44"/>
      <c r="F993" s="44"/>
      <c r="G993" s="44"/>
      <c r="H993" s="44"/>
      <c r="I993" s="44"/>
    </row>
    <row r="994">
      <c r="A994" s="44"/>
      <c r="B994" s="44"/>
      <c r="C994" s="71"/>
      <c r="D994" s="44"/>
      <c r="E994" s="44"/>
      <c r="F994" s="44"/>
      <c r="G994" s="44"/>
      <c r="H994" s="44"/>
      <c r="I994" s="44"/>
    </row>
    <row r="995">
      <c r="A995" s="44"/>
      <c r="B995" s="44"/>
      <c r="C995" s="71"/>
      <c r="D995" s="44"/>
      <c r="E995" s="44"/>
      <c r="F995" s="44"/>
      <c r="G995" s="44"/>
      <c r="H995" s="44"/>
      <c r="I995" s="44"/>
    </row>
    <row r="996">
      <c r="A996" s="44"/>
      <c r="B996" s="44"/>
      <c r="C996" s="71"/>
      <c r="D996" s="44"/>
      <c r="E996" s="44"/>
      <c r="F996" s="44"/>
      <c r="G996" s="44"/>
      <c r="H996" s="44"/>
      <c r="I996" s="44"/>
    </row>
    <row r="997">
      <c r="A997" s="44"/>
      <c r="B997" s="44"/>
      <c r="C997" s="71"/>
      <c r="D997" s="44"/>
      <c r="E997" s="44"/>
      <c r="F997" s="44"/>
      <c r="G997" s="44"/>
      <c r="H997" s="44"/>
      <c r="I997" s="44"/>
    </row>
    <row r="998">
      <c r="A998" s="44"/>
      <c r="B998" s="44"/>
      <c r="C998" s="71"/>
      <c r="D998" s="44"/>
      <c r="E998" s="44"/>
      <c r="F998" s="44"/>
      <c r="G998" s="44"/>
      <c r="H998" s="44"/>
      <c r="I998" s="44"/>
    </row>
    <row r="999">
      <c r="A999" s="44"/>
      <c r="B999" s="44"/>
      <c r="C999" s="71"/>
      <c r="D999" s="44"/>
      <c r="E999" s="44"/>
      <c r="F999" s="44"/>
      <c r="G999" s="44"/>
      <c r="H999" s="44"/>
      <c r="I999" s="44"/>
    </row>
    <row r="1000">
      <c r="A1000" s="44"/>
      <c r="B1000" s="44"/>
      <c r="C1000" s="71"/>
      <c r="D1000" s="44"/>
      <c r="E1000" s="44"/>
      <c r="F1000" s="44"/>
      <c r="G1000" s="44"/>
      <c r="H1000" s="44"/>
      <c r="I1000" s="44"/>
    </row>
    <row r="1001">
      <c r="A1001" s="44"/>
      <c r="B1001" s="44"/>
      <c r="C1001" s="71"/>
      <c r="D1001" s="44"/>
      <c r="E1001" s="44"/>
      <c r="F1001" s="44"/>
      <c r="G1001" s="44"/>
      <c r="H1001" s="44"/>
      <c r="I1001" s="44"/>
    </row>
    <row r="1002">
      <c r="A1002" s="44"/>
      <c r="B1002" s="44"/>
      <c r="C1002" s="71"/>
      <c r="D1002" s="44"/>
      <c r="E1002" s="44"/>
      <c r="F1002" s="44"/>
      <c r="G1002" s="44"/>
      <c r="H1002" s="44"/>
      <c r="I1002" s="44"/>
    </row>
    <row r="1003">
      <c r="A1003" s="44"/>
      <c r="B1003" s="44"/>
      <c r="C1003" s="71"/>
      <c r="D1003" s="44"/>
      <c r="E1003" s="44"/>
      <c r="F1003" s="44"/>
      <c r="G1003" s="44"/>
      <c r="H1003" s="44"/>
      <c r="I1003" s="44"/>
    </row>
    <row r="1004">
      <c r="A1004" s="44"/>
      <c r="B1004" s="44"/>
      <c r="C1004" s="71"/>
      <c r="D1004" s="44"/>
      <c r="E1004" s="44"/>
      <c r="F1004" s="44"/>
      <c r="G1004" s="44"/>
      <c r="H1004" s="44"/>
      <c r="I1004" s="44"/>
    </row>
    <row r="1005">
      <c r="A1005" s="44"/>
      <c r="B1005" s="44"/>
      <c r="C1005" s="71"/>
      <c r="D1005" s="44"/>
      <c r="E1005" s="44"/>
      <c r="F1005" s="44"/>
      <c r="G1005" s="44"/>
      <c r="H1005" s="44"/>
      <c r="I1005" s="44"/>
    </row>
    <row r="1006">
      <c r="A1006" s="44"/>
      <c r="B1006" s="44"/>
      <c r="C1006" s="71"/>
      <c r="D1006" s="44"/>
      <c r="E1006" s="44"/>
      <c r="F1006" s="44"/>
      <c r="G1006" s="44"/>
      <c r="H1006" s="44"/>
      <c r="I1006" s="44"/>
    </row>
    <row r="1007">
      <c r="A1007" s="44"/>
      <c r="B1007" s="44"/>
      <c r="C1007" s="71"/>
      <c r="D1007" s="44"/>
      <c r="E1007" s="44"/>
      <c r="F1007" s="44"/>
      <c r="G1007" s="44"/>
      <c r="H1007" s="44"/>
      <c r="I1007" s="44"/>
    </row>
    <row r="1008">
      <c r="A1008" s="44"/>
      <c r="B1008" s="44"/>
      <c r="C1008" s="71"/>
      <c r="D1008" s="44"/>
      <c r="E1008" s="44"/>
      <c r="F1008" s="44"/>
      <c r="G1008" s="44"/>
      <c r="H1008" s="44"/>
      <c r="I1008" s="44"/>
    </row>
    <row r="1009">
      <c r="A1009" s="44"/>
      <c r="B1009" s="44"/>
      <c r="C1009" s="71"/>
      <c r="D1009" s="44"/>
      <c r="E1009" s="44"/>
      <c r="F1009" s="44"/>
      <c r="G1009" s="44"/>
      <c r="H1009" s="44"/>
      <c r="I1009" s="44"/>
    </row>
    <row r="1010">
      <c r="A1010" s="44"/>
      <c r="B1010" s="44"/>
      <c r="C1010" s="71"/>
      <c r="D1010" s="44"/>
      <c r="E1010" s="44"/>
      <c r="F1010" s="44"/>
      <c r="G1010" s="44"/>
      <c r="H1010" s="44"/>
      <c r="I1010" s="44"/>
    </row>
    <row r="1011">
      <c r="A1011" s="44"/>
      <c r="B1011" s="44"/>
      <c r="C1011" s="71"/>
      <c r="D1011" s="44"/>
      <c r="E1011" s="44"/>
      <c r="F1011" s="44"/>
      <c r="G1011" s="44"/>
      <c r="H1011" s="44"/>
      <c r="I1011" s="44"/>
    </row>
    <row r="1012">
      <c r="A1012" s="44"/>
      <c r="B1012" s="44"/>
      <c r="C1012" s="71"/>
      <c r="D1012" s="44"/>
      <c r="E1012" s="44"/>
      <c r="F1012" s="44"/>
      <c r="G1012" s="44"/>
      <c r="H1012" s="44"/>
      <c r="I1012" s="44"/>
    </row>
    <row r="1013">
      <c r="A1013" s="44"/>
      <c r="B1013" s="44"/>
      <c r="C1013" s="71"/>
      <c r="D1013" s="44"/>
      <c r="E1013" s="44"/>
      <c r="F1013" s="44"/>
      <c r="G1013" s="44"/>
      <c r="H1013" s="44"/>
      <c r="I1013" s="44"/>
    </row>
    <row r="1014">
      <c r="A1014" s="44"/>
      <c r="B1014" s="44"/>
      <c r="C1014" s="71"/>
      <c r="D1014" s="44"/>
      <c r="E1014" s="44"/>
      <c r="F1014" s="44"/>
      <c r="G1014" s="44"/>
      <c r="H1014" s="44"/>
      <c r="I1014" s="44"/>
    </row>
    <row r="1015">
      <c r="A1015" s="44"/>
      <c r="B1015" s="44"/>
      <c r="C1015" s="71"/>
      <c r="D1015" s="44"/>
      <c r="E1015" s="44"/>
      <c r="F1015" s="44"/>
      <c r="G1015" s="44"/>
      <c r="H1015" s="44"/>
      <c r="I1015" s="44"/>
    </row>
    <row r="1016">
      <c r="A1016" s="44"/>
      <c r="B1016" s="44"/>
      <c r="C1016" s="71"/>
      <c r="D1016" s="44"/>
      <c r="E1016" s="44"/>
      <c r="F1016" s="44"/>
      <c r="G1016" s="44"/>
      <c r="H1016" s="44"/>
      <c r="I1016" s="44"/>
    </row>
    <row r="1017">
      <c r="A1017" s="44"/>
      <c r="B1017" s="44"/>
      <c r="C1017" s="71"/>
      <c r="D1017" s="44"/>
      <c r="E1017" s="44"/>
      <c r="F1017" s="44"/>
      <c r="G1017" s="44"/>
      <c r="H1017" s="44"/>
      <c r="I1017" s="44"/>
    </row>
    <row r="1018">
      <c r="A1018" s="44"/>
      <c r="B1018" s="44"/>
      <c r="C1018" s="71"/>
      <c r="D1018" s="44"/>
      <c r="E1018" s="44"/>
      <c r="F1018" s="44"/>
      <c r="G1018" s="44"/>
      <c r="H1018" s="44"/>
      <c r="I1018" s="44"/>
    </row>
    <row r="1019">
      <c r="A1019" s="44"/>
      <c r="B1019" s="44"/>
      <c r="C1019" s="71"/>
      <c r="D1019" s="44"/>
      <c r="E1019" s="44"/>
      <c r="F1019" s="44"/>
      <c r="G1019" s="44"/>
      <c r="H1019" s="44"/>
      <c r="I1019" s="44"/>
    </row>
    <row r="1020">
      <c r="A1020" s="44"/>
      <c r="B1020" s="44"/>
      <c r="C1020" s="71"/>
      <c r="D1020" s="44"/>
      <c r="E1020" s="44"/>
      <c r="F1020" s="44"/>
      <c r="G1020" s="44"/>
      <c r="H1020" s="44"/>
      <c r="I1020" s="44"/>
    </row>
    <row r="1021">
      <c r="A1021" s="44"/>
      <c r="B1021" s="44"/>
      <c r="C1021" s="71"/>
      <c r="D1021" s="44"/>
      <c r="E1021" s="44"/>
      <c r="F1021" s="44"/>
      <c r="G1021" s="44"/>
      <c r="H1021" s="44"/>
      <c r="I1021" s="44"/>
    </row>
    <row r="1022">
      <c r="A1022" s="44"/>
      <c r="B1022" s="44"/>
      <c r="C1022" s="71"/>
      <c r="D1022" s="44"/>
      <c r="E1022" s="44"/>
      <c r="F1022" s="44"/>
      <c r="G1022" s="44"/>
      <c r="H1022" s="44"/>
      <c r="I1022" s="44"/>
    </row>
    <row r="1023">
      <c r="A1023" s="44"/>
      <c r="B1023" s="44"/>
      <c r="C1023" s="71"/>
      <c r="D1023" s="44"/>
      <c r="E1023" s="44"/>
      <c r="F1023" s="44"/>
      <c r="G1023" s="44"/>
      <c r="H1023" s="44"/>
      <c r="I1023" s="44"/>
    </row>
    <row r="1024">
      <c r="A1024" s="44"/>
      <c r="B1024" s="44"/>
      <c r="C1024" s="71"/>
      <c r="D1024" s="44"/>
      <c r="E1024" s="44"/>
      <c r="F1024" s="44"/>
      <c r="G1024" s="44"/>
      <c r="H1024" s="44"/>
      <c r="I1024" s="44"/>
    </row>
    <row r="1025">
      <c r="A1025" s="44"/>
      <c r="B1025" s="44"/>
      <c r="C1025" s="71"/>
      <c r="D1025" s="44"/>
      <c r="E1025" s="44"/>
      <c r="F1025" s="44"/>
      <c r="G1025" s="44"/>
      <c r="H1025" s="44"/>
      <c r="I1025" s="44"/>
    </row>
    <row r="1026">
      <c r="A1026" s="44"/>
      <c r="B1026" s="44"/>
      <c r="C1026" s="71"/>
      <c r="D1026" s="44"/>
      <c r="E1026" s="44"/>
      <c r="F1026" s="44"/>
      <c r="G1026" s="44"/>
      <c r="H1026" s="44"/>
      <c r="I1026" s="44"/>
    </row>
    <row r="1027">
      <c r="A1027" s="44"/>
      <c r="B1027" s="44"/>
      <c r="C1027" s="71"/>
      <c r="D1027" s="44"/>
      <c r="E1027" s="44"/>
      <c r="F1027" s="44"/>
      <c r="G1027" s="44"/>
      <c r="H1027" s="44"/>
      <c r="I1027" s="44"/>
    </row>
    <row r="1028">
      <c r="A1028" s="44"/>
      <c r="B1028" s="44"/>
      <c r="C1028" s="71"/>
      <c r="D1028" s="44"/>
      <c r="E1028" s="44"/>
      <c r="F1028" s="44"/>
      <c r="G1028" s="44"/>
      <c r="H1028" s="44"/>
      <c r="I1028" s="44"/>
    </row>
    <row r="1029">
      <c r="A1029" s="44"/>
      <c r="B1029" s="44"/>
      <c r="C1029" s="71"/>
      <c r="D1029" s="44"/>
      <c r="E1029" s="44"/>
      <c r="F1029" s="44"/>
      <c r="G1029" s="44"/>
      <c r="H1029" s="44"/>
      <c r="I1029" s="44"/>
    </row>
    <row r="1030">
      <c r="A1030" s="44"/>
      <c r="B1030" s="44"/>
      <c r="C1030" s="71"/>
      <c r="D1030" s="44"/>
      <c r="E1030" s="44"/>
      <c r="F1030" s="44"/>
      <c r="G1030" s="44"/>
      <c r="H1030" s="44"/>
      <c r="I1030" s="44"/>
    </row>
    <row r="1031">
      <c r="A1031" s="44"/>
      <c r="B1031" s="44"/>
      <c r="C1031" s="71"/>
      <c r="D1031" s="44"/>
      <c r="E1031" s="44"/>
      <c r="F1031" s="44"/>
      <c r="G1031" s="44"/>
      <c r="H1031" s="44"/>
      <c r="I1031" s="44"/>
    </row>
    <row r="1032">
      <c r="A1032" s="44"/>
      <c r="B1032" s="44"/>
      <c r="C1032" s="71"/>
      <c r="D1032" s="44"/>
      <c r="E1032" s="44"/>
      <c r="F1032" s="44"/>
      <c r="G1032" s="44"/>
      <c r="H1032" s="44"/>
      <c r="I1032" s="44"/>
    </row>
    <row r="1033">
      <c r="A1033" s="44"/>
      <c r="B1033" s="44"/>
      <c r="C1033" s="71"/>
      <c r="D1033" s="44"/>
      <c r="E1033" s="44"/>
      <c r="F1033" s="44"/>
      <c r="G1033" s="44"/>
      <c r="H1033" s="44"/>
      <c r="I1033" s="44"/>
    </row>
    <row r="1034">
      <c r="A1034" s="44"/>
      <c r="B1034" s="44"/>
      <c r="C1034" s="71"/>
      <c r="D1034" s="44"/>
      <c r="E1034" s="44"/>
      <c r="F1034" s="44"/>
      <c r="G1034" s="44"/>
      <c r="H1034" s="44"/>
      <c r="I1034" s="44"/>
    </row>
    <row r="1035">
      <c r="A1035" s="44"/>
      <c r="B1035" s="44"/>
      <c r="C1035" s="71"/>
      <c r="D1035" s="44"/>
      <c r="E1035" s="44"/>
      <c r="F1035" s="44"/>
      <c r="G1035" s="44"/>
      <c r="H1035" s="44"/>
      <c r="I1035" s="44"/>
    </row>
    <row r="1036">
      <c r="A1036" s="44"/>
      <c r="B1036" s="44"/>
      <c r="C1036" s="71"/>
      <c r="D1036" s="44"/>
      <c r="E1036" s="44"/>
      <c r="F1036" s="44"/>
      <c r="G1036" s="44"/>
      <c r="H1036" s="44"/>
      <c r="I1036" s="44"/>
    </row>
    <row r="1037">
      <c r="A1037" s="44"/>
      <c r="B1037" s="44"/>
      <c r="C1037" s="71"/>
      <c r="D1037" s="44"/>
      <c r="E1037" s="44"/>
      <c r="F1037" s="44"/>
      <c r="G1037" s="44"/>
      <c r="H1037" s="44"/>
      <c r="I1037" s="44"/>
    </row>
    <row r="1038">
      <c r="A1038" s="44"/>
      <c r="B1038" s="44"/>
      <c r="C1038" s="71"/>
      <c r="D1038" s="44"/>
      <c r="E1038" s="44"/>
      <c r="F1038" s="44"/>
      <c r="G1038" s="44"/>
      <c r="H1038" s="44"/>
      <c r="I1038" s="44"/>
    </row>
    <row r="1039">
      <c r="A1039" s="44"/>
      <c r="B1039" s="44"/>
      <c r="C1039" s="71"/>
      <c r="D1039" s="44"/>
      <c r="E1039" s="44"/>
      <c r="F1039" s="44"/>
      <c r="G1039" s="44"/>
      <c r="H1039" s="44"/>
      <c r="I1039" s="44"/>
    </row>
    <row r="1040">
      <c r="A1040" s="44"/>
      <c r="B1040" s="44"/>
      <c r="C1040" s="71"/>
      <c r="D1040" s="44"/>
      <c r="E1040" s="44"/>
      <c r="F1040" s="44"/>
      <c r="G1040" s="44"/>
      <c r="H1040" s="44"/>
      <c r="I1040" s="44"/>
    </row>
    <row r="1041">
      <c r="A1041" s="44"/>
      <c r="B1041" s="44"/>
      <c r="C1041" s="71"/>
      <c r="D1041" s="44"/>
      <c r="E1041" s="44"/>
      <c r="F1041" s="44"/>
      <c r="G1041" s="44"/>
      <c r="H1041" s="44"/>
      <c r="I1041" s="44"/>
    </row>
    <row r="1042">
      <c r="A1042" s="44"/>
      <c r="B1042" s="44"/>
      <c r="C1042" s="71"/>
      <c r="D1042" s="44"/>
      <c r="E1042" s="44"/>
      <c r="F1042" s="44"/>
      <c r="G1042" s="44"/>
      <c r="H1042" s="44"/>
      <c r="I1042" s="44"/>
    </row>
    <row r="1043">
      <c r="A1043" s="44"/>
      <c r="B1043" s="44"/>
      <c r="C1043" s="71"/>
      <c r="D1043" s="44"/>
      <c r="E1043" s="44"/>
      <c r="F1043" s="44"/>
      <c r="G1043" s="44"/>
      <c r="H1043" s="44"/>
      <c r="I1043" s="44"/>
    </row>
    <row r="1044">
      <c r="A1044" s="44"/>
      <c r="B1044" s="44"/>
      <c r="C1044" s="71"/>
      <c r="D1044" s="44"/>
      <c r="E1044" s="44"/>
      <c r="F1044" s="44"/>
      <c r="G1044" s="44"/>
      <c r="H1044" s="44"/>
      <c r="I1044" s="44"/>
    </row>
    <row r="1045">
      <c r="A1045" s="44"/>
      <c r="B1045" s="44"/>
      <c r="C1045" s="71"/>
      <c r="D1045" s="44"/>
      <c r="E1045" s="44"/>
      <c r="F1045" s="44"/>
      <c r="G1045" s="44"/>
      <c r="H1045" s="44"/>
      <c r="I1045" s="44"/>
    </row>
    <row r="1046">
      <c r="A1046" s="44"/>
      <c r="B1046" s="44"/>
      <c r="C1046" s="71"/>
      <c r="D1046" s="44"/>
      <c r="E1046" s="44"/>
      <c r="F1046" s="44"/>
      <c r="G1046" s="44"/>
      <c r="H1046" s="44"/>
      <c r="I1046" s="44"/>
    </row>
    <row r="1047">
      <c r="A1047" s="44"/>
      <c r="B1047" s="44"/>
      <c r="C1047" s="71"/>
      <c r="D1047" s="44"/>
      <c r="E1047" s="44"/>
      <c r="F1047" s="44"/>
      <c r="G1047" s="44"/>
      <c r="H1047" s="44"/>
      <c r="I1047" s="44"/>
    </row>
    <row r="1048">
      <c r="A1048" s="44"/>
      <c r="B1048" s="44"/>
      <c r="C1048" s="71"/>
      <c r="D1048" s="44"/>
      <c r="E1048" s="44"/>
      <c r="F1048" s="44"/>
      <c r="G1048" s="44"/>
      <c r="H1048" s="44"/>
      <c r="I1048" s="44"/>
    </row>
    <row r="1049">
      <c r="A1049" s="44"/>
      <c r="B1049" s="44"/>
      <c r="C1049" s="71"/>
      <c r="D1049" s="44"/>
      <c r="E1049" s="44"/>
      <c r="F1049" s="44"/>
      <c r="G1049" s="44"/>
      <c r="H1049" s="44"/>
      <c r="I1049" s="44"/>
    </row>
    <row r="1050">
      <c r="A1050" s="44"/>
      <c r="B1050" s="44"/>
      <c r="C1050" s="71"/>
      <c r="D1050" s="44"/>
      <c r="E1050" s="44"/>
      <c r="F1050" s="44"/>
      <c r="G1050" s="44"/>
      <c r="H1050" s="44"/>
      <c r="I1050" s="44"/>
    </row>
    <row r="1051">
      <c r="A1051" s="44"/>
      <c r="B1051" s="44"/>
      <c r="C1051" s="71"/>
      <c r="D1051" s="44"/>
      <c r="E1051" s="44"/>
      <c r="F1051" s="44"/>
      <c r="G1051" s="44"/>
      <c r="H1051" s="44"/>
      <c r="I1051" s="44"/>
    </row>
    <row r="1052">
      <c r="A1052" s="44"/>
      <c r="B1052" s="44"/>
      <c r="C1052" s="71"/>
      <c r="D1052" s="44"/>
      <c r="E1052" s="44"/>
      <c r="F1052" s="44"/>
      <c r="G1052" s="44"/>
      <c r="H1052" s="44"/>
      <c r="I1052" s="44"/>
    </row>
    <row r="1053">
      <c r="A1053" s="44"/>
      <c r="B1053" s="44"/>
      <c r="C1053" s="71"/>
      <c r="D1053" s="44"/>
      <c r="E1053" s="44"/>
      <c r="F1053" s="44"/>
      <c r="G1053" s="44"/>
      <c r="H1053" s="44"/>
      <c r="I1053" s="44"/>
    </row>
    <row r="1054">
      <c r="A1054" s="44"/>
      <c r="B1054" s="44"/>
      <c r="C1054" s="71"/>
      <c r="D1054" s="44"/>
      <c r="E1054" s="44"/>
      <c r="F1054" s="44"/>
      <c r="G1054" s="44"/>
      <c r="H1054" s="44"/>
      <c r="I1054" s="44"/>
    </row>
    <row r="1055">
      <c r="A1055" s="44"/>
      <c r="B1055" s="44"/>
      <c r="C1055" s="71"/>
      <c r="D1055" s="44"/>
      <c r="E1055" s="44"/>
      <c r="F1055" s="44"/>
      <c r="G1055" s="44"/>
      <c r="H1055" s="44"/>
      <c r="I1055" s="44"/>
    </row>
    <row r="1056">
      <c r="A1056" s="44"/>
      <c r="B1056" s="44"/>
      <c r="C1056" s="71"/>
      <c r="D1056" s="44"/>
      <c r="E1056" s="44"/>
      <c r="F1056" s="44"/>
      <c r="G1056" s="44"/>
      <c r="H1056" s="44"/>
      <c r="I1056" s="44"/>
    </row>
    <row r="1057">
      <c r="A1057" s="44"/>
      <c r="B1057" s="44"/>
      <c r="C1057" s="71"/>
      <c r="D1057" s="44"/>
      <c r="E1057" s="44"/>
      <c r="F1057" s="44"/>
      <c r="G1057" s="44"/>
      <c r="H1057" s="44"/>
      <c r="I1057" s="44"/>
    </row>
    <row r="1058">
      <c r="A1058" s="44"/>
      <c r="B1058" s="44"/>
      <c r="C1058" s="71"/>
      <c r="D1058" s="44"/>
      <c r="E1058" s="44"/>
      <c r="F1058" s="44"/>
      <c r="G1058" s="44"/>
      <c r="H1058" s="44"/>
      <c r="I1058" s="44"/>
    </row>
    <row r="1059">
      <c r="A1059" s="44"/>
      <c r="B1059" s="44"/>
      <c r="C1059" s="71"/>
      <c r="D1059" s="44"/>
      <c r="E1059" s="44"/>
      <c r="F1059" s="44"/>
      <c r="G1059" s="44"/>
      <c r="H1059" s="44"/>
      <c r="I1059" s="44"/>
    </row>
    <row r="1060">
      <c r="A1060" s="44"/>
      <c r="B1060" s="44"/>
      <c r="C1060" s="71"/>
      <c r="D1060" s="44"/>
      <c r="E1060" s="44"/>
      <c r="F1060" s="44"/>
      <c r="G1060" s="44"/>
      <c r="H1060" s="44"/>
      <c r="I1060" s="44"/>
    </row>
    <row r="1061">
      <c r="A1061" s="44"/>
      <c r="B1061" s="44"/>
      <c r="C1061" s="71"/>
      <c r="D1061" s="44"/>
      <c r="E1061" s="44"/>
      <c r="F1061" s="44"/>
      <c r="G1061" s="44"/>
      <c r="H1061" s="44"/>
      <c r="I1061" s="44"/>
    </row>
    <row r="1062">
      <c r="A1062" s="44"/>
      <c r="B1062" s="44"/>
      <c r="C1062" s="71"/>
      <c r="D1062" s="44"/>
      <c r="E1062" s="44"/>
      <c r="F1062" s="44"/>
      <c r="G1062" s="44"/>
      <c r="H1062" s="44"/>
      <c r="I1062" s="44"/>
    </row>
    <row r="1063">
      <c r="A1063" s="44"/>
      <c r="B1063" s="44"/>
      <c r="C1063" s="71"/>
      <c r="D1063" s="44"/>
      <c r="E1063" s="44"/>
      <c r="F1063" s="44"/>
      <c r="G1063" s="44"/>
      <c r="H1063" s="44"/>
      <c r="I1063" s="44"/>
    </row>
    <row r="1064">
      <c r="A1064" s="44"/>
      <c r="B1064" s="44"/>
      <c r="C1064" s="71"/>
      <c r="D1064" s="44"/>
      <c r="E1064" s="44"/>
      <c r="F1064" s="44"/>
      <c r="G1064" s="44"/>
      <c r="H1064" s="44"/>
      <c r="I1064" s="44"/>
    </row>
    <row r="1065">
      <c r="A1065" s="44"/>
      <c r="B1065" s="44"/>
      <c r="C1065" s="71"/>
      <c r="D1065" s="44"/>
      <c r="E1065" s="44"/>
      <c r="F1065" s="44"/>
      <c r="G1065" s="44"/>
      <c r="H1065" s="44"/>
      <c r="I1065" s="44"/>
    </row>
    <row r="1066">
      <c r="A1066" s="44"/>
      <c r="B1066" s="44"/>
      <c r="C1066" s="71"/>
      <c r="D1066" s="44"/>
      <c r="E1066" s="44"/>
      <c r="F1066" s="44"/>
      <c r="G1066" s="44"/>
      <c r="H1066" s="44"/>
      <c r="I1066" s="44"/>
    </row>
    <row r="1067">
      <c r="A1067" s="44"/>
      <c r="B1067" s="44"/>
      <c r="C1067" s="71"/>
      <c r="D1067" s="44"/>
      <c r="E1067" s="44"/>
      <c r="F1067" s="44"/>
      <c r="G1067" s="44"/>
      <c r="H1067" s="44"/>
      <c r="I1067" s="44"/>
    </row>
    <row r="1068">
      <c r="A1068" s="44"/>
      <c r="B1068" s="44"/>
      <c r="C1068" s="71"/>
      <c r="D1068" s="44"/>
      <c r="E1068" s="44"/>
      <c r="F1068" s="44"/>
      <c r="G1068" s="44"/>
      <c r="H1068" s="44"/>
      <c r="I1068" s="44"/>
    </row>
    <row r="1069">
      <c r="A1069" s="44"/>
      <c r="B1069" s="44"/>
      <c r="C1069" s="71"/>
      <c r="D1069" s="44"/>
      <c r="E1069" s="44"/>
      <c r="F1069" s="44"/>
      <c r="G1069" s="44"/>
      <c r="H1069" s="44"/>
      <c r="I1069" s="44"/>
    </row>
    <row r="1070">
      <c r="A1070" s="44"/>
      <c r="B1070" s="44"/>
      <c r="C1070" s="71"/>
      <c r="D1070" s="44"/>
      <c r="E1070" s="44"/>
      <c r="F1070" s="44"/>
      <c r="G1070" s="44"/>
      <c r="H1070" s="44"/>
      <c r="I1070" s="44"/>
    </row>
    <row r="1071">
      <c r="A1071" s="44"/>
      <c r="B1071" s="44"/>
      <c r="C1071" s="71"/>
      <c r="D1071" s="44"/>
      <c r="E1071" s="44"/>
      <c r="F1071" s="44"/>
      <c r="G1071" s="44"/>
      <c r="H1071" s="44"/>
      <c r="I1071" s="44"/>
    </row>
    <row r="1072">
      <c r="A1072" s="44"/>
      <c r="B1072" s="44"/>
      <c r="C1072" s="71"/>
      <c r="D1072" s="44"/>
      <c r="E1072" s="44"/>
      <c r="F1072" s="44"/>
      <c r="G1072" s="44"/>
      <c r="H1072" s="44"/>
      <c r="I1072" s="44"/>
    </row>
    <row r="1073">
      <c r="A1073" s="44"/>
      <c r="B1073" s="44"/>
      <c r="C1073" s="71"/>
      <c r="D1073" s="44"/>
      <c r="E1073" s="44"/>
      <c r="F1073" s="44"/>
      <c r="G1073" s="44"/>
      <c r="H1073" s="44"/>
      <c r="I1073" s="44"/>
    </row>
    <row r="1074">
      <c r="A1074" s="44"/>
      <c r="B1074" s="44"/>
      <c r="C1074" s="71"/>
      <c r="D1074" s="44"/>
      <c r="E1074" s="44"/>
      <c r="F1074" s="44"/>
      <c r="G1074" s="44"/>
      <c r="H1074" s="44"/>
      <c r="I1074" s="44"/>
    </row>
    <row r="1075">
      <c r="A1075" s="44"/>
      <c r="B1075" s="44"/>
      <c r="C1075" s="71"/>
      <c r="D1075" s="44"/>
      <c r="E1075" s="44"/>
      <c r="F1075" s="44"/>
      <c r="G1075" s="44"/>
      <c r="H1075" s="44"/>
      <c r="I1075" s="44"/>
    </row>
    <row r="1076">
      <c r="A1076" s="44"/>
      <c r="B1076" s="44"/>
      <c r="C1076" s="71"/>
      <c r="D1076" s="44"/>
      <c r="E1076" s="44"/>
      <c r="F1076" s="44"/>
      <c r="G1076" s="44"/>
      <c r="H1076" s="44"/>
      <c r="I1076" s="44"/>
    </row>
    <row r="1077">
      <c r="A1077" s="44"/>
      <c r="B1077" s="44"/>
      <c r="C1077" s="71"/>
      <c r="D1077" s="44"/>
      <c r="E1077" s="44"/>
      <c r="F1077" s="44"/>
      <c r="G1077" s="44"/>
      <c r="H1077" s="44"/>
      <c r="I1077" s="44"/>
    </row>
    <row r="1078">
      <c r="A1078" s="44"/>
      <c r="B1078" s="44"/>
      <c r="C1078" s="71"/>
      <c r="D1078" s="44"/>
      <c r="E1078" s="44"/>
      <c r="F1078" s="44"/>
      <c r="G1078" s="44"/>
      <c r="H1078" s="44"/>
      <c r="I1078" s="44"/>
    </row>
    <row r="1079">
      <c r="A1079" s="44"/>
      <c r="B1079" s="44"/>
      <c r="C1079" s="71"/>
      <c r="D1079" s="44"/>
      <c r="E1079" s="44"/>
      <c r="F1079" s="44"/>
      <c r="G1079" s="44"/>
      <c r="H1079" s="44"/>
      <c r="I1079" s="44"/>
    </row>
    <row r="1080">
      <c r="A1080" s="44"/>
      <c r="B1080" s="44"/>
      <c r="C1080" s="71"/>
      <c r="D1080" s="44"/>
      <c r="E1080" s="44"/>
      <c r="F1080" s="44"/>
      <c r="G1080" s="44"/>
      <c r="H1080" s="44"/>
      <c r="I1080" s="44"/>
    </row>
    <row r="1081">
      <c r="A1081" s="44"/>
      <c r="B1081" s="44"/>
      <c r="C1081" s="71"/>
      <c r="D1081" s="44"/>
      <c r="E1081" s="44"/>
      <c r="F1081" s="44"/>
      <c r="G1081" s="44"/>
      <c r="H1081" s="44"/>
      <c r="I1081" s="44"/>
    </row>
    <row r="1082">
      <c r="A1082" s="44"/>
      <c r="B1082" s="44"/>
      <c r="C1082" s="71"/>
      <c r="D1082" s="44"/>
      <c r="E1082" s="44"/>
      <c r="F1082" s="44"/>
      <c r="G1082" s="44"/>
      <c r="H1082" s="44"/>
      <c r="I1082" s="44"/>
    </row>
    <row r="1083">
      <c r="A1083" s="44"/>
      <c r="B1083" s="44"/>
      <c r="C1083" s="71"/>
      <c r="D1083" s="44"/>
      <c r="E1083" s="44"/>
      <c r="F1083" s="44"/>
      <c r="G1083" s="44"/>
      <c r="H1083" s="44"/>
      <c r="I1083" s="44"/>
    </row>
    <row r="1084">
      <c r="A1084" s="44"/>
      <c r="B1084" s="44"/>
      <c r="C1084" s="71"/>
      <c r="D1084" s="44"/>
      <c r="E1084" s="44"/>
      <c r="F1084" s="44"/>
      <c r="G1084" s="44"/>
      <c r="H1084" s="44"/>
      <c r="I1084" s="44"/>
    </row>
    <row r="1085">
      <c r="A1085" s="44"/>
      <c r="B1085" s="44"/>
      <c r="C1085" s="71"/>
      <c r="D1085" s="44"/>
      <c r="E1085" s="44"/>
      <c r="F1085" s="44"/>
      <c r="G1085" s="44"/>
      <c r="H1085" s="44"/>
      <c r="I1085" s="44"/>
    </row>
    <row r="1086">
      <c r="A1086" s="44"/>
      <c r="B1086" s="44"/>
      <c r="C1086" s="71"/>
      <c r="D1086" s="44"/>
      <c r="E1086" s="44"/>
      <c r="F1086" s="44"/>
      <c r="G1086" s="44"/>
      <c r="H1086" s="44"/>
      <c r="I1086" s="44"/>
    </row>
    <row r="1087">
      <c r="A1087" s="44"/>
      <c r="B1087" s="44"/>
      <c r="C1087" s="71"/>
      <c r="D1087" s="44"/>
      <c r="E1087" s="44"/>
      <c r="F1087" s="44"/>
      <c r="G1087" s="44"/>
      <c r="H1087" s="44"/>
      <c r="I1087" s="44"/>
    </row>
    <row r="1088">
      <c r="A1088" s="44"/>
      <c r="B1088" s="44"/>
      <c r="C1088" s="71"/>
      <c r="D1088" s="44"/>
      <c r="E1088" s="44"/>
      <c r="F1088" s="44"/>
      <c r="G1088" s="44"/>
      <c r="H1088" s="44"/>
      <c r="I1088" s="44"/>
    </row>
    <row r="1089">
      <c r="A1089" s="44"/>
      <c r="B1089" s="44"/>
      <c r="C1089" s="71"/>
      <c r="D1089" s="44"/>
      <c r="E1089" s="44"/>
      <c r="F1089" s="44"/>
      <c r="G1089" s="44"/>
      <c r="H1089" s="44"/>
      <c r="I1089" s="44"/>
    </row>
    <row r="1090">
      <c r="A1090" s="44"/>
      <c r="B1090" s="44"/>
      <c r="C1090" s="71"/>
      <c r="D1090" s="44"/>
      <c r="E1090" s="44"/>
      <c r="F1090" s="44"/>
      <c r="G1090" s="44"/>
      <c r="H1090" s="44"/>
      <c r="I1090" s="44"/>
    </row>
    <row r="1091">
      <c r="A1091" s="44"/>
      <c r="B1091" s="44"/>
      <c r="C1091" s="71"/>
      <c r="D1091" s="44"/>
      <c r="E1091" s="44"/>
      <c r="F1091" s="44"/>
      <c r="G1091" s="44"/>
      <c r="H1091" s="44"/>
      <c r="I1091" s="44"/>
    </row>
    <row r="1092">
      <c r="A1092" s="44"/>
      <c r="B1092" s="44"/>
      <c r="C1092" s="71"/>
      <c r="D1092" s="44"/>
      <c r="E1092" s="44"/>
      <c r="F1092" s="44"/>
      <c r="G1092" s="44"/>
      <c r="H1092" s="44"/>
      <c r="I1092" s="44"/>
    </row>
    <row r="1093">
      <c r="A1093" s="44"/>
      <c r="B1093" s="44"/>
      <c r="C1093" s="71"/>
      <c r="D1093" s="44"/>
      <c r="E1093" s="44"/>
      <c r="F1093" s="44"/>
      <c r="G1093" s="44"/>
      <c r="H1093" s="44"/>
      <c r="I1093" s="44"/>
    </row>
    <row r="1094">
      <c r="A1094" s="44"/>
      <c r="B1094" s="44"/>
      <c r="C1094" s="71"/>
      <c r="D1094" s="44"/>
      <c r="E1094" s="44"/>
      <c r="F1094" s="44"/>
      <c r="G1094" s="44"/>
      <c r="H1094" s="44"/>
      <c r="I1094" s="44"/>
    </row>
    <row r="1095">
      <c r="A1095" s="44"/>
      <c r="B1095" s="44"/>
      <c r="C1095" s="71"/>
      <c r="D1095" s="44"/>
      <c r="E1095" s="44"/>
      <c r="F1095" s="44"/>
      <c r="G1095" s="44"/>
      <c r="H1095" s="44"/>
      <c r="I1095" s="44"/>
    </row>
    <row r="1096">
      <c r="A1096" s="44"/>
      <c r="B1096" s="44"/>
      <c r="C1096" s="71"/>
      <c r="D1096" s="44"/>
      <c r="E1096" s="44"/>
      <c r="F1096" s="44"/>
      <c r="G1096" s="44"/>
      <c r="H1096" s="44"/>
      <c r="I1096" s="44"/>
    </row>
    <row r="1097">
      <c r="A1097" s="44"/>
      <c r="B1097" s="44"/>
      <c r="C1097" s="71"/>
      <c r="D1097" s="44"/>
      <c r="E1097" s="44"/>
      <c r="F1097" s="44"/>
      <c r="G1097" s="44"/>
      <c r="H1097" s="44"/>
      <c r="I1097" s="44"/>
    </row>
    <row r="1098">
      <c r="A1098" s="44"/>
      <c r="B1098" s="44"/>
      <c r="C1098" s="71"/>
      <c r="D1098" s="44"/>
      <c r="E1098" s="44"/>
      <c r="F1098" s="44"/>
      <c r="G1098" s="44"/>
      <c r="H1098" s="44"/>
      <c r="I1098" s="44"/>
    </row>
    <row r="1099">
      <c r="A1099" s="44"/>
      <c r="B1099" s="44"/>
      <c r="C1099" s="71"/>
      <c r="D1099" s="44"/>
      <c r="E1099" s="44"/>
      <c r="F1099" s="44"/>
      <c r="G1099" s="44"/>
      <c r="H1099" s="44"/>
      <c r="I1099" s="44"/>
    </row>
    <row r="1100">
      <c r="A1100" s="44"/>
      <c r="B1100" s="44"/>
      <c r="C1100" s="71"/>
      <c r="D1100" s="44"/>
      <c r="E1100" s="44"/>
      <c r="F1100" s="44"/>
      <c r="G1100" s="44"/>
      <c r="H1100" s="44"/>
      <c r="I1100" s="44"/>
    </row>
    <row r="1101">
      <c r="A1101" s="44"/>
      <c r="B1101" s="44"/>
      <c r="C1101" s="71"/>
      <c r="D1101" s="44"/>
      <c r="E1101" s="44"/>
      <c r="F1101" s="44"/>
      <c r="G1101" s="44"/>
      <c r="H1101" s="44"/>
      <c r="I1101" s="44"/>
    </row>
    <row r="1102">
      <c r="A1102" s="44"/>
      <c r="B1102" s="44"/>
      <c r="C1102" s="71"/>
      <c r="D1102" s="44"/>
      <c r="E1102" s="44"/>
      <c r="F1102" s="44"/>
      <c r="G1102" s="44"/>
      <c r="H1102" s="44"/>
      <c r="I1102" s="44"/>
    </row>
    <row r="1103">
      <c r="A1103" s="44"/>
      <c r="B1103" s="44"/>
      <c r="C1103" s="71"/>
      <c r="D1103" s="44"/>
      <c r="E1103" s="44"/>
      <c r="F1103" s="44"/>
      <c r="G1103" s="44"/>
      <c r="H1103" s="44"/>
      <c r="I1103" s="44"/>
    </row>
    <row r="1104">
      <c r="A1104" s="44"/>
      <c r="B1104" s="44"/>
      <c r="C1104" s="71"/>
      <c r="D1104" s="44"/>
      <c r="E1104" s="44"/>
      <c r="F1104" s="44"/>
      <c r="G1104" s="44"/>
      <c r="H1104" s="44"/>
      <c r="I1104" s="44"/>
    </row>
    <row r="1105">
      <c r="A1105" s="44"/>
      <c r="B1105" s="44"/>
      <c r="C1105" s="71"/>
      <c r="D1105" s="44"/>
      <c r="E1105" s="44"/>
      <c r="F1105" s="44"/>
      <c r="G1105" s="44"/>
      <c r="H1105" s="44"/>
      <c r="I1105" s="44"/>
    </row>
    <row r="1106">
      <c r="A1106" s="44"/>
      <c r="B1106" s="44"/>
      <c r="C1106" s="71"/>
      <c r="D1106" s="44"/>
      <c r="E1106" s="44"/>
      <c r="F1106" s="44"/>
      <c r="G1106" s="44"/>
      <c r="H1106" s="44"/>
      <c r="I1106" s="44"/>
    </row>
    <row r="1107">
      <c r="A1107" s="44"/>
      <c r="B1107" s="44"/>
      <c r="C1107" s="71"/>
      <c r="D1107" s="44"/>
      <c r="E1107" s="44"/>
      <c r="F1107" s="44"/>
      <c r="G1107" s="44"/>
      <c r="H1107" s="44"/>
      <c r="I1107" s="44"/>
    </row>
    <row r="1108">
      <c r="A1108" s="44"/>
      <c r="B1108" s="44"/>
      <c r="C1108" s="71"/>
      <c r="D1108" s="44"/>
      <c r="E1108" s="44"/>
      <c r="F1108" s="44"/>
      <c r="G1108" s="44"/>
      <c r="H1108" s="44"/>
      <c r="I1108" s="44"/>
    </row>
    <row r="1109">
      <c r="A1109" s="44"/>
      <c r="B1109" s="44"/>
      <c r="C1109" s="71"/>
      <c r="D1109" s="44"/>
      <c r="E1109" s="44"/>
      <c r="F1109" s="44"/>
      <c r="G1109" s="44"/>
      <c r="H1109" s="44"/>
      <c r="I1109" s="44"/>
    </row>
    <row r="1110">
      <c r="A1110" s="44"/>
      <c r="B1110" s="44"/>
      <c r="C1110" s="71"/>
      <c r="D1110" s="44"/>
      <c r="E1110" s="44"/>
      <c r="F1110" s="44"/>
      <c r="G1110" s="44"/>
      <c r="H1110" s="44"/>
      <c r="I1110" s="44"/>
    </row>
    <row r="1111">
      <c r="A1111" s="44"/>
      <c r="B1111" s="44"/>
      <c r="C1111" s="71"/>
      <c r="D1111" s="44"/>
      <c r="E1111" s="44"/>
      <c r="F1111" s="44"/>
      <c r="G1111" s="44"/>
      <c r="H1111" s="44"/>
      <c r="I1111" s="44"/>
    </row>
    <row r="1112">
      <c r="A1112" s="44"/>
      <c r="B1112" s="44"/>
      <c r="C1112" s="71"/>
      <c r="D1112" s="44"/>
      <c r="E1112" s="44"/>
      <c r="F1112" s="44"/>
      <c r="G1112" s="44"/>
      <c r="H1112" s="44"/>
      <c r="I1112" s="44"/>
    </row>
    <row r="1113">
      <c r="A1113" s="44"/>
      <c r="B1113" s="44"/>
      <c r="C1113" s="71"/>
      <c r="D1113" s="44"/>
      <c r="E1113" s="44"/>
      <c r="F1113" s="44"/>
      <c r="G1113" s="44"/>
      <c r="H1113" s="44"/>
      <c r="I1113" s="44"/>
    </row>
    <row r="1114">
      <c r="A1114" s="44"/>
      <c r="B1114" s="44"/>
      <c r="C1114" s="71"/>
      <c r="D1114" s="44"/>
      <c r="E1114" s="44"/>
      <c r="F1114" s="44"/>
      <c r="G1114" s="44"/>
      <c r="H1114" s="44"/>
      <c r="I1114" s="44"/>
    </row>
    <row r="1115">
      <c r="A1115" s="44"/>
      <c r="B1115" s="44"/>
      <c r="C1115" s="71"/>
      <c r="D1115" s="44"/>
      <c r="E1115" s="44"/>
      <c r="F1115" s="44"/>
      <c r="G1115" s="44"/>
      <c r="H1115" s="44"/>
      <c r="I1115" s="44"/>
    </row>
    <row r="1116">
      <c r="A1116" s="44"/>
      <c r="B1116" s="44"/>
      <c r="C1116" s="71"/>
      <c r="D1116" s="44"/>
      <c r="E1116" s="44"/>
      <c r="F1116" s="44"/>
      <c r="G1116" s="44"/>
      <c r="H1116" s="44"/>
      <c r="I1116" s="44"/>
    </row>
    <row r="1117">
      <c r="A1117" s="44"/>
      <c r="B1117" s="44"/>
      <c r="C1117" s="71"/>
      <c r="D1117" s="44"/>
      <c r="E1117" s="44"/>
      <c r="F1117" s="44"/>
      <c r="G1117" s="44"/>
      <c r="H1117" s="44"/>
      <c r="I1117" s="44"/>
    </row>
    <row r="1118">
      <c r="A1118" s="44"/>
      <c r="B1118" s="44"/>
      <c r="C1118" s="71"/>
      <c r="D1118" s="44"/>
      <c r="E1118" s="44"/>
      <c r="F1118" s="44"/>
      <c r="G1118" s="44"/>
      <c r="H1118" s="44"/>
      <c r="I1118" s="44"/>
    </row>
    <row r="1119">
      <c r="A1119" s="44"/>
      <c r="B1119" s="44"/>
      <c r="C1119" s="71"/>
      <c r="D1119" s="44"/>
      <c r="E1119" s="44"/>
      <c r="F1119" s="44"/>
      <c r="G1119" s="44"/>
      <c r="H1119" s="44"/>
      <c r="I1119" s="44"/>
    </row>
    <row r="1120">
      <c r="A1120" s="44"/>
      <c r="B1120" s="44"/>
      <c r="C1120" s="71"/>
      <c r="D1120" s="44"/>
      <c r="E1120" s="44"/>
      <c r="F1120" s="44"/>
      <c r="G1120" s="44"/>
      <c r="H1120" s="44"/>
      <c r="I1120" s="44"/>
    </row>
    <row r="1121">
      <c r="A1121" s="44"/>
      <c r="B1121" s="44"/>
      <c r="C1121" s="71"/>
      <c r="D1121" s="44"/>
      <c r="E1121" s="44"/>
      <c r="F1121" s="44"/>
      <c r="G1121" s="44"/>
      <c r="H1121" s="44"/>
      <c r="I1121" s="44"/>
    </row>
    <row r="1122">
      <c r="A1122" s="44"/>
      <c r="B1122" s="44"/>
      <c r="C1122" s="71"/>
      <c r="D1122" s="44"/>
      <c r="E1122" s="44"/>
      <c r="F1122" s="44"/>
      <c r="G1122" s="44"/>
      <c r="H1122" s="44"/>
      <c r="I1122" s="44"/>
    </row>
    <row r="1123">
      <c r="A1123" s="44"/>
      <c r="B1123" s="44"/>
      <c r="C1123" s="71"/>
      <c r="D1123" s="44"/>
      <c r="E1123" s="44"/>
      <c r="F1123" s="44"/>
      <c r="G1123" s="44"/>
      <c r="H1123" s="44"/>
      <c r="I1123" s="44"/>
    </row>
    <row r="1124">
      <c r="A1124" s="44"/>
      <c r="B1124" s="44"/>
      <c r="C1124" s="71"/>
      <c r="D1124" s="44"/>
      <c r="E1124" s="44"/>
      <c r="F1124" s="44"/>
      <c r="G1124" s="44"/>
      <c r="H1124" s="44"/>
      <c r="I1124" s="44"/>
    </row>
    <row r="1125">
      <c r="A1125" s="44"/>
      <c r="B1125" s="44"/>
      <c r="C1125" s="71"/>
      <c r="D1125" s="44"/>
      <c r="E1125" s="44"/>
      <c r="F1125" s="44"/>
      <c r="G1125" s="44"/>
      <c r="H1125" s="44"/>
      <c r="I1125" s="44"/>
    </row>
    <row r="1126">
      <c r="A1126" s="44"/>
      <c r="B1126" s="44"/>
      <c r="C1126" s="71"/>
      <c r="D1126" s="44"/>
      <c r="E1126" s="44"/>
      <c r="F1126" s="44"/>
      <c r="G1126" s="44"/>
      <c r="H1126" s="44"/>
      <c r="I1126" s="44"/>
    </row>
    <row r="1127">
      <c r="A1127" s="44"/>
      <c r="B1127" s="44"/>
      <c r="C1127" s="71"/>
      <c r="D1127" s="44"/>
      <c r="E1127" s="44"/>
      <c r="F1127" s="44"/>
      <c r="G1127" s="44"/>
      <c r="H1127" s="44"/>
      <c r="I1127" s="44"/>
    </row>
    <row r="1128">
      <c r="A1128" s="44"/>
      <c r="B1128" s="44"/>
      <c r="C1128" s="71"/>
      <c r="D1128" s="44"/>
      <c r="E1128" s="44"/>
      <c r="F1128" s="44"/>
      <c r="G1128" s="44"/>
      <c r="H1128" s="44"/>
      <c r="I1128" s="44"/>
    </row>
    <row r="1129">
      <c r="A1129" s="44"/>
      <c r="B1129" s="44"/>
      <c r="C1129" s="71"/>
      <c r="D1129" s="44"/>
      <c r="E1129" s="44"/>
      <c r="F1129" s="44"/>
      <c r="G1129" s="44"/>
      <c r="H1129" s="44"/>
      <c r="I1129" s="44"/>
    </row>
    <row r="1130">
      <c r="A1130" s="44"/>
      <c r="B1130" s="44"/>
      <c r="C1130" s="71"/>
      <c r="D1130" s="44"/>
      <c r="E1130" s="44"/>
      <c r="F1130" s="44"/>
      <c r="G1130" s="44"/>
      <c r="H1130" s="44"/>
      <c r="I1130" s="44"/>
    </row>
    <row r="1131">
      <c r="A1131" s="44"/>
      <c r="B1131" s="44"/>
      <c r="C1131" s="71"/>
      <c r="D1131" s="44"/>
      <c r="E1131" s="44"/>
      <c r="F1131" s="44"/>
      <c r="G1131" s="44"/>
      <c r="H1131" s="44"/>
      <c r="I1131" s="44"/>
    </row>
    <row r="1132">
      <c r="A1132" s="44"/>
      <c r="B1132" s="44"/>
      <c r="C1132" s="71"/>
      <c r="D1132" s="44"/>
      <c r="E1132" s="44"/>
      <c r="F1132" s="44"/>
      <c r="G1132" s="44"/>
      <c r="H1132" s="44"/>
      <c r="I1132" s="44"/>
    </row>
    <row r="1133">
      <c r="A1133" s="44"/>
      <c r="B1133" s="44"/>
      <c r="C1133" s="71"/>
      <c r="D1133" s="44"/>
      <c r="E1133" s="44"/>
      <c r="F1133" s="44"/>
      <c r="G1133" s="44"/>
      <c r="H1133" s="44"/>
      <c r="I1133" s="44"/>
    </row>
    <row r="1134">
      <c r="A1134" s="44"/>
      <c r="B1134" s="44"/>
      <c r="C1134" s="71"/>
      <c r="D1134" s="44"/>
      <c r="E1134" s="44"/>
      <c r="F1134" s="44"/>
      <c r="G1134" s="44"/>
      <c r="H1134" s="44"/>
      <c r="I1134" s="44"/>
    </row>
    <row r="1135">
      <c r="A1135" s="44"/>
      <c r="B1135" s="44"/>
      <c r="C1135" s="71"/>
      <c r="D1135" s="44"/>
      <c r="E1135" s="44"/>
      <c r="F1135" s="44"/>
      <c r="G1135" s="44"/>
      <c r="H1135" s="44"/>
      <c r="I1135" s="44"/>
    </row>
    <row r="1136">
      <c r="A1136" s="44"/>
      <c r="B1136" s="44"/>
      <c r="C1136" s="71"/>
      <c r="D1136" s="44"/>
      <c r="E1136" s="44"/>
      <c r="F1136" s="44"/>
      <c r="G1136" s="44"/>
      <c r="H1136" s="44"/>
      <c r="I1136" s="44"/>
    </row>
    <row r="1137">
      <c r="A1137" s="44"/>
      <c r="B1137" s="44"/>
      <c r="C1137" s="71"/>
      <c r="D1137" s="44"/>
      <c r="E1137" s="44"/>
      <c r="F1137" s="44"/>
      <c r="G1137" s="44"/>
      <c r="H1137" s="44"/>
      <c r="I1137" s="44"/>
    </row>
    <row r="1138">
      <c r="A1138" s="44"/>
      <c r="B1138" s="44"/>
      <c r="C1138" s="71"/>
      <c r="D1138" s="44"/>
      <c r="E1138" s="44"/>
      <c r="F1138" s="44"/>
      <c r="G1138" s="44"/>
      <c r="H1138" s="44"/>
      <c r="I1138" s="44"/>
    </row>
    <row r="1139">
      <c r="A1139" s="44"/>
      <c r="B1139" s="44"/>
      <c r="C1139" s="71"/>
      <c r="D1139" s="44"/>
      <c r="E1139" s="44"/>
      <c r="F1139" s="44"/>
      <c r="G1139" s="44"/>
      <c r="H1139" s="44"/>
      <c r="I1139" s="44"/>
    </row>
    <row r="1140">
      <c r="A1140" s="44"/>
      <c r="B1140" s="44"/>
      <c r="C1140" s="71"/>
      <c r="D1140" s="44"/>
      <c r="E1140" s="44"/>
      <c r="F1140" s="44"/>
      <c r="G1140" s="44"/>
      <c r="H1140" s="44"/>
      <c r="I1140" s="44"/>
    </row>
    <row r="1141">
      <c r="A1141" s="44"/>
      <c r="B1141" s="44"/>
      <c r="C1141" s="71"/>
      <c r="D1141" s="44"/>
      <c r="E1141" s="44"/>
      <c r="F1141" s="44"/>
      <c r="G1141" s="44"/>
      <c r="H1141" s="44"/>
      <c r="I1141" s="44"/>
    </row>
    <row r="1142">
      <c r="A1142" s="44"/>
      <c r="B1142" s="44"/>
      <c r="C1142" s="71"/>
      <c r="D1142" s="44"/>
      <c r="E1142" s="44"/>
      <c r="F1142" s="44"/>
      <c r="G1142" s="44"/>
      <c r="H1142" s="44"/>
      <c r="I1142" s="44"/>
    </row>
    <row r="1143">
      <c r="A1143" s="44"/>
      <c r="B1143" s="44"/>
      <c r="C1143" s="71"/>
      <c r="D1143" s="44"/>
      <c r="E1143" s="44"/>
      <c r="F1143" s="44"/>
      <c r="G1143" s="44"/>
      <c r="H1143" s="44"/>
      <c r="I1143" s="44"/>
    </row>
    <row r="1144">
      <c r="A1144" s="44"/>
      <c r="B1144" s="44"/>
      <c r="C1144" s="71"/>
      <c r="D1144" s="44"/>
      <c r="E1144" s="44"/>
      <c r="F1144" s="44"/>
      <c r="G1144" s="44"/>
      <c r="H1144" s="44"/>
      <c r="I1144" s="44"/>
    </row>
    <row r="1145">
      <c r="A1145" s="44"/>
      <c r="B1145" s="44"/>
      <c r="C1145" s="71"/>
      <c r="D1145" s="44"/>
      <c r="E1145" s="44"/>
      <c r="F1145" s="44"/>
      <c r="G1145" s="44"/>
      <c r="H1145" s="44"/>
      <c r="I1145" s="44"/>
    </row>
    <row r="1146">
      <c r="A1146" s="44"/>
      <c r="B1146" s="44"/>
      <c r="C1146" s="71"/>
      <c r="D1146" s="44"/>
      <c r="E1146" s="44"/>
      <c r="F1146" s="44"/>
      <c r="G1146" s="44"/>
      <c r="H1146" s="44"/>
      <c r="I1146" s="44"/>
    </row>
    <row r="1147">
      <c r="A1147" s="44"/>
      <c r="B1147" s="44"/>
      <c r="C1147" s="71"/>
      <c r="D1147" s="44"/>
      <c r="E1147" s="44"/>
      <c r="F1147" s="44"/>
      <c r="G1147" s="44"/>
      <c r="H1147" s="44"/>
      <c r="I1147" s="44"/>
    </row>
    <row r="1148">
      <c r="A1148" s="44"/>
      <c r="B1148" s="44"/>
      <c r="C1148" s="71"/>
      <c r="D1148" s="44"/>
      <c r="E1148" s="44"/>
      <c r="F1148" s="44"/>
      <c r="G1148" s="44"/>
      <c r="H1148" s="44"/>
      <c r="I1148" s="44"/>
    </row>
    <row r="1149">
      <c r="A1149" s="44"/>
      <c r="B1149" s="44"/>
      <c r="C1149" s="71"/>
      <c r="D1149" s="44"/>
      <c r="E1149" s="44"/>
      <c r="F1149" s="44"/>
      <c r="G1149" s="44"/>
      <c r="H1149" s="44"/>
      <c r="I1149" s="44"/>
    </row>
    <row r="1150">
      <c r="A1150" s="44"/>
      <c r="B1150" s="44"/>
      <c r="C1150" s="71"/>
      <c r="D1150" s="44"/>
      <c r="E1150" s="44"/>
      <c r="F1150" s="44"/>
      <c r="G1150" s="44"/>
      <c r="H1150" s="44"/>
      <c r="I1150" s="44"/>
    </row>
    <row r="1151">
      <c r="A1151" s="44"/>
      <c r="B1151" s="44"/>
      <c r="C1151" s="71"/>
      <c r="D1151" s="44"/>
      <c r="E1151" s="44"/>
      <c r="F1151" s="44"/>
      <c r="G1151" s="44"/>
      <c r="H1151" s="44"/>
      <c r="I1151" s="44"/>
    </row>
    <row r="1152">
      <c r="A1152" s="44"/>
      <c r="B1152" s="44"/>
      <c r="C1152" s="71"/>
      <c r="D1152" s="44"/>
      <c r="E1152" s="44"/>
      <c r="F1152" s="44"/>
      <c r="G1152" s="44"/>
      <c r="H1152" s="44"/>
      <c r="I1152" s="44"/>
    </row>
    <row r="1153">
      <c r="A1153" s="44"/>
      <c r="B1153" s="44"/>
      <c r="C1153" s="71"/>
      <c r="D1153" s="44"/>
      <c r="E1153" s="44"/>
      <c r="F1153" s="44"/>
      <c r="G1153" s="44"/>
      <c r="H1153" s="44"/>
      <c r="I1153" s="44"/>
    </row>
    <row r="1154">
      <c r="A1154" s="44"/>
      <c r="B1154" s="44"/>
      <c r="C1154" s="71"/>
      <c r="D1154" s="44"/>
      <c r="E1154" s="44"/>
      <c r="F1154" s="44"/>
      <c r="G1154" s="44"/>
      <c r="H1154" s="44"/>
      <c r="I1154" s="44"/>
    </row>
    <row r="1155">
      <c r="A1155" s="44"/>
      <c r="B1155" s="44"/>
      <c r="C1155" s="71"/>
      <c r="D1155" s="44"/>
      <c r="E1155" s="44"/>
      <c r="F1155" s="44"/>
      <c r="G1155" s="44"/>
      <c r="H1155" s="44"/>
      <c r="I1155" s="44"/>
    </row>
    <row r="1156">
      <c r="A1156" s="44"/>
      <c r="B1156" s="44"/>
      <c r="C1156" s="71"/>
      <c r="D1156" s="44"/>
      <c r="E1156" s="44"/>
      <c r="F1156" s="44"/>
      <c r="G1156" s="44"/>
      <c r="H1156" s="44"/>
      <c r="I1156" s="44"/>
    </row>
    <row r="1157">
      <c r="A1157" s="44"/>
      <c r="B1157" s="44"/>
      <c r="C1157" s="71"/>
      <c r="D1157" s="44"/>
      <c r="E1157" s="44"/>
      <c r="F1157" s="44"/>
      <c r="G1157" s="44"/>
      <c r="H1157" s="44"/>
      <c r="I1157" s="44"/>
    </row>
    <row r="1158">
      <c r="A1158" s="44"/>
      <c r="B1158" s="44"/>
      <c r="C1158" s="71"/>
      <c r="D1158" s="44"/>
      <c r="E1158" s="44"/>
      <c r="F1158" s="44"/>
      <c r="G1158" s="44"/>
      <c r="H1158" s="44"/>
      <c r="I1158" s="44"/>
    </row>
    <row r="1159">
      <c r="A1159" s="44"/>
      <c r="B1159" s="44"/>
      <c r="C1159" s="71"/>
      <c r="D1159" s="44"/>
      <c r="E1159" s="44"/>
      <c r="F1159" s="44"/>
      <c r="G1159" s="44"/>
      <c r="H1159" s="44"/>
      <c r="I1159" s="44"/>
    </row>
    <row r="1160">
      <c r="A1160" s="44"/>
      <c r="B1160" s="44"/>
      <c r="C1160" s="71"/>
      <c r="D1160" s="44"/>
      <c r="E1160" s="44"/>
      <c r="F1160" s="44"/>
      <c r="G1160" s="44"/>
      <c r="H1160" s="44"/>
      <c r="I1160" s="44"/>
    </row>
    <row r="1161">
      <c r="A1161" s="44"/>
      <c r="B1161" s="44"/>
      <c r="C1161" s="71"/>
      <c r="D1161" s="44"/>
      <c r="E1161" s="44"/>
      <c r="F1161" s="44"/>
      <c r="G1161" s="44"/>
      <c r="H1161" s="44"/>
      <c r="I1161" s="44"/>
    </row>
    <row r="1162">
      <c r="A1162" s="44"/>
      <c r="B1162" s="44"/>
      <c r="C1162" s="71"/>
      <c r="D1162" s="44"/>
      <c r="E1162" s="44"/>
      <c r="F1162" s="44"/>
      <c r="G1162" s="44"/>
      <c r="H1162" s="44"/>
      <c r="I1162" s="44"/>
    </row>
    <row r="1163">
      <c r="A1163" s="44"/>
      <c r="B1163" s="44"/>
      <c r="C1163" s="71"/>
      <c r="D1163" s="44"/>
      <c r="E1163" s="44"/>
      <c r="F1163" s="44"/>
      <c r="G1163" s="44"/>
      <c r="H1163" s="44"/>
      <c r="I1163" s="44"/>
    </row>
    <row r="1164">
      <c r="A1164" s="44"/>
      <c r="B1164" s="44"/>
      <c r="C1164" s="71"/>
      <c r="D1164" s="44"/>
      <c r="E1164" s="44"/>
      <c r="F1164" s="44"/>
      <c r="G1164" s="44"/>
      <c r="H1164" s="44"/>
      <c r="I1164" s="44"/>
    </row>
    <row r="1165">
      <c r="A1165" s="44"/>
      <c r="B1165" s="44"/>
      <c r="C1165" s="71"/>
      <c r="D1165" s="44"/>
      <c r="E1165" s="44"/>
      <c r="F1165" s="44"/>
      <c r="G1165" s="44"/>
      <c r="H1165" s="44"/>
      <c r="I1165" s="44"/>
    </row>
    <row r="1166">
      <c r="A1166" s="44"/>
      <c r="B1166" s="44"/>
      <c r="C1166" s="71"/>
      <c r="D1166" s="44"/>
      <c r="E1166" s="44"/>
      <c r="F1166" s="44"/>
      <c r="G1166" s="44"/>
      <c r="H1166" s="44"/>
      <c r="I1166" s="44"/>
    </row>
    <row r="1167">
      <c r="A1167" s="44"/>
      <c r="B1167" s="44"/>
      <c r="C1167" s="71"/>
      <c r="D1167" s="44"/>
      <c r="E1167" s="44"/>
      <c r="F1167" s="44"/>
      <c r="G1167" s="44"/>
      <c r="H1167" s="44"/>
      <c r="I1167" s="44"/>
    </row>
    <row r="1168">
      <c r="A1168" s="44"/>
      <c r="B1168" s="44"/>
      <c r="C1168" s="71"/>
      <c r="D1168" s="44"/>
      <c r="E1168" s="44"/>
      <c r="F1168" s="44"/>
      <c r="G1168" s="44"/>
      <c r="H1168" s="44"/>
      <c r="I1168" s="44"/>
    </row>
    <row r="1169">
      <c r="A1169" s="44"/>
      <c r="B1169" s="44"/>
      <c r="C1169" s="71"/>
      <c r="D1169" s="44"/>
      <c r="E1169" s="44"/>
      <c r="F1169" s="44"/>
      <c r="G1169" s="44"/>
      <c r="H1169" s="44"/>
      <c r="I1169" s="44"/>
    </row>
    <row r="1170">
      <c r="A1170" s="44"/>
      <c r="B1170" s="44"/>
      <c r="C1170" s="71"/>
      <c r="D1170" s="44"/>
      <c r="E1170" s="44"/>
      <c r="F1170" s="44"/>
      <c r="G1170" s="44"/>
      <c r="H1170" s="44"/>
      <c r="I1170" s="44"/>
    </row>
    <row r="1171">
      <c r="A1171" s="44"/>
      <c r="B1171" s="44"/>
      <c r="C1171" s="71"/>
      <c r="D1171" s="44"/>
      <c r="E1171" s="44"/>
      <c r="F1171" s="44"/>
      <c r="G1171" s="44"/>
      <c r="H1171" s="44"/>
      <c r="I1171" s="44"/>
    </row>
    <row r="1172">
      <c r="A1172" s="44"/>
      <c r="B1172" s="44"/>
      <c r="C1172" s="71"/>
      <c r="D1172" s="44"/>
      <c r="E1172" s="44"/>
      <c r="F1172" s="44"/>
      <c r="G1172" s="44"/>
      <c r="H1172" s="44"/>
      <c r="I1172" s="44"/>
    </row>
    <row r="1173">
      <c r="A1173" s="44"/>
      <c r="B1173" s="44"/>
      <c r="C1173" s="71"/>
      <c r="D1173" s="44"/>
      <c r="E1173" s="44"/>
      <c r="F1173" s="44"/>
      <c r="G1173" s="44"/>
      <c r="H1173" s="44"/>
      <c r="I1173" s="44"/>
    </row>
    <row r="1174">
      <c r="A1174" s="44"/>
      <c r="B1174" s="44"/>
      <c r="C1174" s="71"/>
      <c r="D1174" s="44"/>
      <c r="E1174" s="44"/>
      <c r="F1174" s="44"/>
      <c r="G1174" s="44"/>
      <c r="H1174" s="44"/>
      <c r="I1174" s="44"/>
    </row>
    <row r="1175">
      <c r="A1175" s="44"/>
      <c r="B1175" s="44"/>
      <c r="C1175" s="71"/>
      <c r="D1175" s="44"/>
      <c r="E1175" s="44"/>
      <c r="F1175" s="44"/>
      <c r="G1175" s="44"/>
      <c r="H1175" s="44"/>
      <c r="I1175" s="44"/>
    </row>
    <row r="1176">
      <c r="A1176" s="44"/>
      <c r="B1176" s="44"/>
      <c r="C1176" s="71"/>
      <c r="D1176" s="44"/>
      <c r="E1176" s="44"/>
      <c r="F1176" s="44"/>
      <c r="G1176" s="44"/>
      <c r="H1176" s="44"/>
      <c r="I1176" s="44"/>
    </row>
    <row r="1177">
      <c r="A1177" s="44"/>
      <c r="B1177" s="44"/>
      <c r="C1177" s="71"/>
      <c r="D1177" s="44"/>
      <c r="E1177" s="44"/>
      <c r="F1177" s="44"/>
      <c r="G1177" s="44"/>
      <c r="H1177" s="44"/>
      <c r="I1177" s="44"/>
    </row>
    <row r="1178">
      <c r="A1178" s="44"/>
      <c r="B1178" s="44"/>
      <c r="C1178" s="71"/>
      <c r="D1178" s="44"/>
      <c r="E1178" s="44"/>
      <c r="F1178" s="44"/>
      <c r="G1178" s="44"/>
      <c r="H1178" s="44"/>
      <c r="I1178" s="44"/>
    </row>
    <row r="1179">
      <c r="A1179" s="44"/>
      <c r="B1179" s="44"/>
      <c r="C1179" s="71"/>
      <c r="D1179" s="44"/>
      <c r="E1179" s="44"/>
      <c r="F1179" s="44"/>
      <c r="G1179" s="44"/>
      <c r="H1179" s="44"/>
      <c r="I1179" s="44"/>
    </row>
    <row r="1180">
      <c r="A1180" s="44"/>
      <c r="B1180" s="44"/>
      <c r="C1180" s="71"/>
      <c r="D1180" s="44"/>
      <c r="E1180" s="44"/>
      <c r="F1180" s="44"/>
      <c r="G1180" s="44"/>
      <c r="H1180" s="44"/>
      <c r="I1180" s="44"/>
    </row>
    <row r="1181">
      <c r="A1181" s="44"/>
      <c r="B1181" s="44"/>
      <c r="C1181" s="71"/>
      <c r="D1181" s="44"/>
      <c r="E1181" s="44"/>
      <c r="F1181" s="44"/>
      <c r="G1181" s="44"/>
      <c r="H1181" s="44"/>
      <c r="I1181" s="44"/>
    </row>
    <row r="1182">
      <c r="A1182" s="44"/>
      <c r="B1182" s="44"/>
      <c r="C1182" s="71"/>
      <c r="D1182" s="44"/>
      <c r="E1182" s="44"/>
      <c r="F1182" s="44"/>
      <c r="G1182" s="44"/>
      <c r="H1182" s="44"/>
      <c r="I1182" s="44"/>
    </row>
    <row r="1183">
      <c r="A1183" s="44"/>
      <c r="B1183" s="44"/>
      <c r="C1183" s="71"/>
      <c r="D1183" s="44"/>
      <c r="E1183" s="44"/>
      <c r="F1183" s="44"/>
      <c r="G1183" s="44"/>
      <c r="H1183" s="44"/>
      <c r="I1183" s="44"/>
    </row>
    <row r="1184">
      <c r="A1184" s="44"/>
      <c r="B1184" s="44"/>
      <c r="C1184" s="71"/>
      <c r="D1184" s="44"/>
      <c r="E1184" s="44"/>
      <c r="F1184" s="44"/>
      <c r="G1184" s="44"/>
      <c r="H1184" s="44"/>
      <c r="I1184" s="44"/>
    </row>
    <row r="1185">
      <c r="A1185" s="44"/>
      <c r="B1185" s="44"/>
      <c r="C1185" s="71"/>
      <c r="D1185" s="44"/>
      <c r="E1185" s="44"/>
      <c r="F1185" s="44"/>
      <c r="G1185" s="44"/>
      <c r="H1185" s="44"/>
      <c r="I1185" s="44"/>
    </row>
    <row r="1186">
      <c r="A1186" s="44"/>
      <c r="B1186" s="44"/>
      <c r="C1186" s="71"/>
      <c r="D1186" s="44"/>
      <c r="E1186" s="44"/>
      <c r="F1186" s="44"/>
      <c r="G1186" s="44"/>
      <c r="H1186" s="44"/>
      <c r="I1186" s="44"/>
    </row>
    <row r="1187">
      <c r="A1187" s="44"/>
      <c r="B1187" s="44"/>
      <c r="C1187" s="71"/>
      <c r="D1187" s="44"/>
      <c r="E1187" s="44"/>
      <c r="F1187" s="44"/>
      <c r="G1187" s="44"/>
      <c r="H1187" s="44"/>
      <c r="I1187" s="44"/>
    </row>
    <row r="1188">
      <c r="A1188" s="44"/>
      <c r="B1188" s="44"/>
      <c r="C1188" s="71"/>
      <c r="D1188" s="44"/>
      <c r="E1188" s="44"/>
      <c r="F1188" s="44"/>
      <c r="G1188" s="44"/>
      <c r="H1188" s="44"/>
      <c r="I1188" s="44"/>
    </row>
    <row r="1189">
      <c r="A1189" s="44"/>
      <c r="B1189" s="44"/>
      <c r="C1189" s="71"/>
      <c r="D1189" s="44"/>
      <c r="E1189" s="44"/>
      <c r="F1189" s="44"/>
      <c r="G1189" s="44"/>
      <c r="H1189" s="44"/>
      <c r="I1189" s="44"/>
    </row>
    <row r="1190">
      <c r="A1190" s="44"/>
      <c r="B1190" s="44"/>
      <c r="C1190" s="71"/>
      <c r="D1190" s="44"/>
      <c r="E1190" s="44"/>
      <c r="F1190" s="44"/>
      <c r="G1190" s="44"/>
      <c r="H1190" s="44"/>
      <c r="I1190" s="44"/>
    </row>
    <row r="1191">
      <c r="A1191" s="44"/>
      <c r="B1191" s="44"/>
      <c r="C1191" s="71"/>
      <c r="D1191" s="44"/>
      <c r="E1191" s="44"/>
      <c r="F1191" s="44"/>
      <c r="G1191" s="44"/>
      <c r="H1191" s="44"/>
      <c r="I1191" s="44"/>
    </row>
    <row r="1192">
      <c r="A1192" s="44"/>
      <c r="B1192" s="44"/>
      <c r="C1192" s="71"/>
      <c r="D1192" s="44"/>
      <c r="E1192" s="44"/>
      <c r="F1192" s="44"/>
      <c r="G1192" s="44"/>
      <c r="H1192" s="44"/>
      <c r="I1192" s="44"/>
    </row>
    <row r="1193">
      <c r="A1193" s="44"/>
      <c r="B1193" s="44"/>
      <c r="C1193" s="71"/>
      <c r="D1193" s="44"/>
      <c r="E1193" s="44"/>
      <c r="F1193" s="44"/>
      <c r="G1193" s="44"/>
      <c r="H1193" s="44"/>
      <c r="I1193" s="44"/>
    </row>
    <row r="1194">
      <c r="A1194" s="44"/>
      <c r="B1194" s="44"/>
      <c r="C1194" s="71"/>
      <c r="D1194" s="44"/>
      <c r="E1194" s="44"/>
      <c r="F1194" s="44"/>
      <c r="G1194" s="44"/>
      <c r="H1194" s="44"/>
      <c r="I1194" s="44"/>
    </row>
    <row r="1195">
      <c r="A1195" s="44"/>
      <c r="B1195" s="44"/>
      <c r="C1195" s="71"/>
      <c r="D1195" s="44"/>
      <c r="E1195" s="44"/>
      <c r="F1195" s="44"/>
      <c r="G1195" s="44"/>
      <c r="H1195" s="44"/>
      <c r="I1195" s="44"/>
    </row>
    <row r="1196">
      <c r="A1196" s="44"/>
      <c r="B1196" s="44"/>
      <c r="C1196" s="71"/>
      <c r="D1196" s="44"/>
      <c r="E1196" s="44"/>
      <c r="F1196" s="44"/>
      <c r="G1196" s="44"/>
      <c r="H1196" s="44"/>
      <c r="I1196" s="44"/>
    </row>
    <row r="1197">
      <c r="A1197" s="44"/>
      <c r="B1197" s="44"/>
      <c r="C1197" s="71"/>
      <c r="D1197" s="44"/>
      <c r="E1197" s="44"/>
      <c r="F1197" s="44"/>
      <c r="G1197" s="44"/>
      <c r="H1197" s="44"/>
      <c r="I1197" s="44"/>
    </row>
    <row r="1198">
      <c r="A1198" s="44"/>
      <c r="B1198" s="44"/>
      <c r="C1198" s="71"/>
      <c r="D1198" s="44"/>
      <c r="E1198" s="44"/>
      <c r="F1198" s="44"/>
      <c r="G1198" s="44"/>
      <c r="H1198" s="44"/>
      <c r="I1198" s="44"/>
    </row>
    <row r="1199">
      <c r="A1199" s="44"/>
      <c r="B1199" s="44"/>
      <c r="C1199" s="71"/>
      <c r="D1199" s="44"/>
      <c r="E1199" s="44"/>
      <c r="F1199" s="44"/>
      <c r="G1199" s="44"/>
      <c r="H1199" s="44"/>
      <c r="I1199" s="44"/>
    </row>
    <row r="1200">
      <c r="A1200" s="44"/>
      <c r="B1200" s="44"/>
      <c r="C1200" s="71"/>
      <c r="D1200" s="44"/>
      <c r="E1200" s="44"/>
      <c r="F1200" s="44"/>
      <c r="G1200" s="44"/>
      <c r="H1200" s="44"/>
      <c r="I1200" s="44"/>
    </row>
    <row r="1201">
      <c r="A1201" s="44"/>
      <c r="B1201" s="44"/>
      <c r="C1201" s="71"/>
      <c r="D1201" s="44"/>
      <c r="E1201" s="44"/>
      <c r="F1201" s="44"/>
      <c r="G1201" s="44"/>
      <c r="H1201" s="44"/>
      <c r="I1201" s="44"/>
    </row>
    <row r="1202">
      <c r="A1202" s="44"/>
      <c r="B1202" s="44"/>
      <c r="C1202" s="71"/>
      <c r="D1202" s="44"/>
      <c r="E1202" s="44"/>
      <c r="F1202" s="44"/>
      <c r="G1202" s="44"/>
      <c r="H1202" s="44"/>
      <c r="I1202" s="44"/>
    </row>
    <row r="1203">
      <c r="A1203" s="44"/>
      <c r="B1203" s="44"/>
      <c r="C1203" s="71"/>
      <c r="D1203" s="44"/>
      <c r="E1203" s="44"/>
      <c r="F1203" s="44"/>
      <c r="G1203" s="44"/>
      <c r="H1203" s="44"/>
      <c r="I1203" s="44"/>
    </row>
    <row r="1204">
      <c r="A1204" s="44"/>
      <c r="B1204" s="44"/>
      <c r="C1204" s="71"/>
      <c r="D1204" s="44"/>
      <c r="E1204" s="44"/>
      <c r="F1204" s="44"/>
      <c r="G1204" s="44"/>
      <c r="H1204" s="44"/>
      <c r="I1204" s="44"/>
    </row>
    <row r="1205">
      <c r="A1205" s="44"/>
      <c r="B1205" s="44"/>
      <c r="C1205" s="71"/>
      <c r="D1205" s="44"/>
      <c r="E1205" s="44"/>
      <c r="F1205" s="44"/>
      <c r="G1205" s="44"/>
      <c r="H1205" s="44"/>
      <c r="I1205" s="44"/>
    </row>
    <row r="1206">
      <c r="A1206" s="44"/>
      <c r="B1206" s="44"/>
      <c r="C1206" s="71"/>
      <c r="D1206" s="44"/>
      <c r="E1206" s="44"/>
      <c r="F1206" s="44"/>
      <c r="G1206" s="44"/>
      <c r="H1206" s="44"/>
      <c r="I1206" s="44"/>
    </row>
    <row r="1207">
      <c r="A1207" s="44"/>
      <c r="B1207" s="44"/>
      <c r="C1207" s="71"/>
      <c r="D1207" s="44"/>
      <c r="E1207" s="44"/>
      <c r="F1207" s="44"/>
      <c r="G1207" s="44"/>
      <c r="H1207" s="44"/>
      <c r="I1207" s="44"/>
    </row>
    <row r="1208">
      <c r="A1208" s="44"/>
      <c r="B1208" s="44"/>
      <c r="C1208" s="71"/>
      <c r="D1208" s="44"/>
      <c r="E1208" s="44"/>
      <c r="F1208" s="44"/>
      <c r="G1208" s="44"/>
      <c r="H1208" s="44"/>
      <c r="I1208" s="44"/>
    </row>
    <row r="1209">
      <c r="A1209" s="44"/>
      <c r="B1209" s="44"/>
      <c r="C1209" s="71"/>
      <c r="D1209" s="44"/>
      <c r="E1209" s="44"/>
      <c r="F1209" s="44"/>
      <c r="G1209" s="44"/>
      <c r="H1209" s="44"/>
      <c r="I1209" s="44"/>
    </row>
    <row r="1210">
      <c r="A1210" s="44"/>
      <c r="B1210" s="44"/>
      <c r="C1210" s="71"/>
      <c r="D1210" s="44"/>
      <c r="E1210" s="44"/>
      <c r="F1210" s="44"/>
      <c r="G1210" s="44"/>
      <c r="H1210" s="44"/>
      <c r="I1210" s="44"/>
    </row>
    <row r="1211">
      <c r="A1211" s="44"/>
      <c r="B1211" s="44"/>
      <c r="C1211" s="71"/>
      <c r="D1211" s="44"/>
      <c r="E1211" s="44"/>
      <c r="F1211" s="44"/>
      <c r="G1211" s="44"/>
      <c r="H1211" s="44"/>
      <c r="I1211" s="44"/>
    </row>
    <row r="1212">
      <c r="A1212" s="44"/>
      <c r="B1212" s="44"/>
      <c r="C1212" s="71"/>
      <c r="D1212" s="44"/>
      <c r="E1212" s="44"/>
      <c r="F1212" s="44"/>
      <c r="G1212" s="44"/>
      <c r="H1212" s="44"/>
      <c r="I1212" s="44"/>
    </row>
    <row r="1213">
      <c r="A1213" s="44"/>
      <c r="B1213" s="44"/>
      <c r="C1213" s="71"/>
      <c r="D1213" s="44"/>
      <c r="E1213" s="44"/>
      <c r="F1213" s="44"/>
      <c r="G1213" s="44"/>
      <c r="H1213" s="44"/>
      <c r="I1213" s="44"/>
    </row>
    <row r="1214">
      <c r="A1214" s="44"/>
      <c r="B1214" s="44"/>
      <c r="C1214" s="71"/>
      <c r="D1214" s="44"/>
      <c r="E1214" s="44"/>
      <c r="F1214" s="44"/>
      <c r="G1214" s="44"/>
      <c r="H1214" s="44"/>
      <c r="I1214" s="44"/>
    </row>
    <row r="1215">
      <c r="A1215" s="44"/>
      <c r="B1215" s="44"/>
      <c r="C1215" s="71"/>
      <c r="D1215" s="44"/>
      <c r="E1215" s="44"/>
      <c r="F1215" s="44"/>
      <c r="G1215" s="44"/>
      <c r="H1215" s="44"/>
      <c r="I1215" s="44"/>
    </row>
    <row r="1216">
      <c r="A1216" s="44"/>
      <c r="B1216" s="44"/>
      <c r="C1216" s="71"/>
      <c r="D1216" s="44"/>
      <c r="E1216" s="44"/>
      <c r="F1216" s="44"/>
      <c r="G1216" s="44"/>
      <c r="H1216" s="44"/>
      <c r="I1216" s="44"/>
    </row>
    <row r="1217">
      <c r="A1217" s="44"/>
      <c r="B1217" s="44"/>
      <c r="C1217" s="71"/>
      <c r="D1217" s="44"/>
      <c r="E1217" s="44"/>
      <c r="F1217" s="44"/>
      <c r="G1217" s="44"/>
      <c r="H1217" s="44"/>
      <c r="I1217" s="44"/>
    </row>
    <row r="1218">
      <c r="A1218" s="44"/>
      <c r="B1218" s="44"/>
      <c r="C1218" s="71"/>
      <c r="D1218" s="44"/>
      <c r="E1218" s="44"/>
      <c r="F1218" s="44"/>
      <c r="G1218" s="44"/>
      <c r="H1218" s="44"/>
      <c r="I1218" s="44"/>
    </row>
    <row r="1219">
      <c r="A1219" s="44"/>
      <c r="B1219" s="44"/>
      <c r="C1219" s="71"/>
      <c r="D1219" s="44"/>
      <c r="E1219" s="44"/>
      <c r="F1219" s="44"/>
      <c r="G1219" s="44"/>
      <c r="H1219" s="44"/>
      <c r="I1219" s="44"/>
    </row>
    <row r="1220">
      <c r="A1220" s="44"/>
      <c r="B1220" s="44"/>
      <c r="C1220" s="71"/>
      <c r="D1220" s="44"/>
      <c r="E1220" s="44"/>
      <c r="F1220" s="44"/>
      <c r="G1220" s="44"/>
      <c r="H1220" s="44"/>
      <c r="I1220" s="44"/>
    </row>
    <row r="1221">
      <c r="A1221" s="44"/>
      <c r="B1221" s="44"/>
      <c r="C1221" s="71"/>
      <c r="D1221" s="44"/>
      <c r="E1221" s="44"/>
      <c r="F1221" s="44"/>
      <c r="G1221" s="44"/>
      <c r="H1221" s="44"/>
      <c r="I1221" s="44"/>
    </row>
    <row r="1222">
      <c r="A1222" s="44"/>
      <c r="B1222" s="44"/>
      <c r="C1222" s="71"/>
      <c r="D1222" s="44"/>
      <c r="E1222" s="44"/>
      <c r="F1222" s="44"/>
      <c r="G1222" s="44"/>
      <c r="H1222" s="44"/>
      <c r="I1222" s="44"/>
    </row>
    <row r="1223">
      <c r="A1223" s="44"/>
      <c r="B1223" s="44"/>
      <c r="C1223" s="71"/>
      <c r="D1223" s="44"/>
      <c r="E1223" s="44"/>
      <c r="F1223" s="44"/>
      <c r="G1223" s="44"/>
      <c r="H1223" s="44"/>
      <c r="I1223" s="44"/>
    </row>
    <row r="1224">
      <c r="A1224" s="44"/>
      <c r="B1224" s="44"/>
      <c r="C1224" s="71"/>
      <c r="D1224" s="44"/>
      <c r="E1224" s="44"/>
      <c r="F1224" s="44"/>
      <c r="G1224" s="44"/>
      <c r="H1224" s="44"/>
      <c r="I1224" s="44"/>
    </row>
    <row r="1225">
      <c r="A1225" s="44"/>
      <c r="B1225" s="44"/>
      <c r="C1225" s="71"/>
      <c r="D1225" s="44"/>
      <c r="E1225" s="44"/>
      <c r="F1225" s="44"/>
      <c r="G1225" s="44"/>
      <c r="H1225" s="44"/>
      <c r="I1225" s="44"/>
    </row>
    <row r="1226">
      <c r="A1226" s="44"/>
      <c r="B1226" s="44"/>
      <c r="C1226" s="71"/>
      <c r="D1226" s="44"/>
      <c r="E1226" s="44"/>
      <c r="F1226" s="44"/>
      <c r="G1226" s="44"/>
      <c r="H1226" s="44"/>
      <c r="I1226" s="44"/>
    </row>
    <row r="1227">
      <c r="A1227" s="44"/>
      <c r="B1227" s="44"/>
      <c r="C1227" s="71"/>
      <c r="D1227" s="44"/>
      <c r="E1227" s="44"/>
      <c r="F1227" s="44"/>
      <c r="G1227" s="44"/>
      <c r="H1227" s="44"/>
      <c r="I1227" s="44"/>
    </row>
    <row r="1228">
      <c r="A1228" s="44"/>
      <c r="B1228" s="44"/>
      <c r="C1228" s="71"/>
      <c r="D1228" s="44"/>
      <c r="E1228" s="44"/>
      <c r="F1228" s="44"/>
      <c r="G1228" s="44"/>
      <c r="H1228" s="44"/>
      <c r="I1228" s="44"/>
    </row>
    <row r="1229">
      <c r="A1229" s="44"/>
      <c r="B1229" s="44"/>
      <c r="C1229" s="71"/>
      <c r="D1229" s="44"/>
      <c r="E1229" s="44"/>
      <c r="F1229" s="44"/>
      <c r="G1229" s="44"/>
      <c r="H1229" s="44"/>
      <c r="I1229" s="44"/>
    </row>
    <row r="1230">
      <c r="A1230" s="44"/>
      <c r="B1230" s="44"/>
      <c r="C1230" s="71"/>
      <c r="D1230" s="44"/>
      <c r="E1230" s="44"/>
      <c r="F1230" s="44"/>
      <c r="G1230" s="44"/>
      <c r="H1230" s="44"/>
      <c r="I1230" s="44"/>
    </row>
    <row r="1231">
      <c r="A1231" s="44"/>
      <c r="B1231" s="44"/>
      <c r="C1231" s="71"/>
      <c r="D1231" s="44"/>
      <c r="E1231" s="44"/>
      <c r="F1231" s="44"/>
      <c r="G1231" s="44"/>
      <c r="H1231" s="44"/>
      <c r="I1231" s="44"/>
    </row>
    <row r="1232">
      <c r="A1232" s="44"/>
      <c r="B1232" s="44"/>
      <c r="C1232" s="71"/>
      <c r="D1232" s="44"/>
      <c r="E1232" s="44"/>
      <c r="F1232" s="44"/>
      <c r="G1232" s="44"/>
      <c r="H1232" s="44"/>
      <c r="I1232" s="44"/>
    </row>
    <row r="1233">
      <c r="A1233" s="44"/>
      <c r="B1233" s="44"/>
      <c r="C1233" s="71"/>
      <c r="D1233" s="44"/>
      <c r="E1233" s="44"/>
      <c r="F1233" s="44"/>
      <c r="G1233" s="44"/>
      <c r="H1233" s="44"/>
      <c r="I1233" s="44"/>
    </row>
    <row r="1234">
      <c r="A1234" s="44"/>
      <c r="B1234" s="44"/>
      <c r="C1234" s="71"/>
      <c r="D1234" s="44"/>
      <c r="E1234" s="44"/>
      <c r="F1234" s="44"/>
      <c r="G1234" s="44"/>
      <c r="H1234" s="44"/>
      <c r="I1234" s="44"/>
    </row>
    <row r="1235">
      <c r="A1235" s="44"/>
      <c r="B1235" s="44"/>
      <c r="C1235" s="71"/>
      <c r="D1235" s="44"/>
      <c r="E1235" s="44"/>
      <c r="F1235" s="44"/>
      <c r="G1235" s="44"/>
      <c r="H1235" s="44"/>
      <c r="I1235" s="44"/>
    </row>
    <row r="1236">
      <c r="A1236" s="44"/>
      <c r="B1236" s="44"/>
      <c r="C1236" s="71"/>
      <c r="D1236" s="44"/>
      <c r="E1236" s="44"/>
      <c r="F1236" s="44"/>
      <c r="G1236" s="44"/>
      <c r="H1236" s="44"/>
      <c r="I1236" s="44"/>
    </row>
    <row r="1237">
      <c r="A1237" s="44"/>
      <c r="B1237" s="44"/>
      <c r="C1237" s="71"/>
      <c r="D1237" s="44"/>
      <c r="E1237" s="44"/>
      <c r="F1237" s="44"/>
      <c r="G1237" s="44"/>
      <c r="H1237" s="44"/>
      <c r="I1237" s="44"/>
    </row>
    <row r="1238">
      <c r="A1238" s="44"/>
      <c r="B1238" s="44"/>
      <c r="C1238" s="71"/>
      <c r="D1238" s="44"/>
      <c r="E1238" s="44"/>
      <c r="F1238" s="44"/>
      <c r="G1238" s="44"/>
      <c r="H1238" s="44"/>
      <c r="I1238" s="44"/>
    </row>
    <row r="1239">
      <c r="A1239" s="44"/>
      <c r="B1239" s="44"/>
      <c r="C1239" s="71"/>
      <c r="D1239" s="44"/>
      <c r="E1239" s="44"/>
      <c r="F1239" s="44"/>
      <c r="G1239" s="44"/>
      <c r="H1239" s="44"/>
      <c r="I1239" s="44"/>
    </row>
    <row r="1240">
      <c r="A1240" s="44"/>
      <c r="B1240" s="44"/>
      <c r="C1240" s="71"/>
      <c r="D1240" s="44"/>
      <c r="E1240" s="44"/>
      <c r="F1240" s="44"/>
      <c r="G1240" s="44"/>
      <c r="H1240" s="44"/>
      <c r="I1240" s="44"/>
    </row>
    <row r="1241">
      <c r="A1241" s="44"/>
      <c r="B1241" s="44"/>
      <c r="C1241" s="71"/>
      <c r="D1241" s="44"/>
      <c r="E1241" s="44"/>
      <c r="F1241" s="44"/>
      <c r="G1241" s="44"/>
      <c r="H1241" s="44"/>
      <c r="I1241" s="44"/>
    </row>
    <row r="1242">
      <c r="A1242" s="44"/>
      <c r="B1242" s="44"/>
      <c r="C1242" s="71"/>
      <c r="D1242" s="44"/>
      <c r="E1242" s="44"/>
      <c r="F1242" s="44"/>
      <c r="G1242" s="44"/>
      <c r="H1242" s="44"/>
      <c r="I1242" s="44"/>
    </row>
    <row r="1243">
      <c r="A1243" s="44"/>
      <c r="B1243" s="44"/>
      <c r="C1243" s="71"/>
      <c r="D1243" s="44"/>
      <c r="E1243" s="44"/>
      <c r="F1243" s="44"/>
      <c r="G1243" s="44"/>
      <c r="H1243" s="44"/>
      <c r="I1243" s="44"/>
    </row>
    <row r="1244">
      <c r="A1244" s="44"/>
      <c r="B1244" s="44"/>
      <c r="C1244" s="71"/>
      <c r="D1244" s="44"/>
      <c r="E1244" s="44"/>
      <c r="F1244" s="44"/>
      <c r="G1244" s="44"/>
      <c r="H1244" s="44"/>
      <c r="I1244" s="44"/>
    </row>
    <row r="1245">
      <c r="A1245" s="44"/>
      <c r="B1245" s="44"/>
      <c r="C1245" s="71"/>
      <c r="D1245" s="44"/>
      <c r="E1245" s="44"/>
      <c r="F1245" s="44"/>
      <c r="G1245" s="44"/>
      <c r="H1245" s="44"/>
      <c r="I1245" s="44"/>
    </row>
    <row r="1246">
      <c r="A1246" s="44"/>
      <c r="B1246" s="44"/>
      <c r="C1246" s="71"/>
      <c r="D1246" s="44"/>
      <c r="E1246" s="44"/>
      <c r="F1246" s="44"/>
      <c r="G1246" s="44"/>
      <c r="H1246" s="44"/>
      <c r="I1246" s="44"/>
    </row>
    <row r="1247">
      <c r="A1247" s="44"/>
      <c r="B1247" s="44"/>
      <c r="C1247" s="71"/>
      <c r="D1247" s="44"/>
      <c r="E1247" s="44"/>
      <c r="F1247" s="44"/>
      <c r="G1247" s="44"/>
      <c r="H1247" s="44"/>
      <c r="I1247" s="44"/>
    </row>
    <row r="1248">
      <c r="A1248" s="44"/>
      <c r="B1248" s="44"/>
      <c r="C1248" s="71"/>
      <c r="D1248" s="44"/>
      <c r="E1248" s="44"/>
      <c r="F1248" s="44"/>
      <c r="G1248" s="44"/>
      <c r="H1248" s="44"/>
      <c r="I1248" s="44"/>
    </row>
    <row r="1249">
      <c r="A1249" s="44"/>
      <c r="B1249" s="44"/>
      <c r="C1249" s="71"/>
      <c r="D1249" s="44"/>
      <c r="E1249" s="44"/>
      <c r="F1249" s="44"/>
      <c r="G1249" s="44"/>
      <c r="H1249" s="44"/>
      <c r="I1249" s="44"/>
    </row>
    <row r="1250">
      <c r="A1250" s="44"/>
      <c r="B1250" s="44"/>
      <c r="C1250" s="71"/>
      <c r="D1250" s="44"/>
      <c r="E1250" s="44"/>
      <c r="F1250" s="44"/>
      <c r="G1250" s="44"/>
      <c r="H1250" s="44"/>
      <c r="I1250" s="44"/>
    </row>
    <row r="1251">
      <c r="A1251" s="44"/>
      <c r="B1251" s="44"/>
      <c r="C1251" s="71"/>
      <c r="D1251" s="44"/>
      <c r="E1251" s="44"/>
      <c r="F1251" s="44"/>
      <c r="G1251" s="44"/>
      <c r="H1251" s="44"/>
      <c r="I1251" s="44"/>
    </row>
    <row r="1252">
      <c r="A1252" s="44"/>
      <c r="B1252" s="44"/>
      <c r="C1252" s="71"/>
      <c r="D1252" s="44"/>
      <c r="E1252" s="44"/>
      <c r="F1252" s="44"/>
      <c r="G1252" s="44"/>
      <c r="H1252" s="44"/>
      <c r="I1252" s="44"/>
    </row>
    <row r="1253">
      <c r="A1253" s="44"/>
      <c r="B1253" s="44"/>
      <c r="C1253" s="71"/>
      <c r="D1253" s="44"/>
      <c r="E1253" s="44"/>
      <c r="F1253" s="44"/>
      <c r="G1253" s="44"/>
      <c r="H1253" s="44"/>
      <c r="I1253" s="44"/>
    </row>
    <row r="1254">
      <c r="A1254" s="44"/>
      <c r="B1254" s="44"/>
      <c r="C1254" s="71"/>
      <c r="D1254" s="44"/>
      <c r="E1254" s="44"/>
      <c r="F1254" s="44"/>
      <c r="G1254" s="44"/>
      <c r="H1254" s="44"/>
      <c r="I1254" s="44"/>
    </row>
    <row r="1255">
      <c r="A1255" s="44"/>
      <c r="B1255" s="44"/>
      <c r="C1255" s="71"/>
      <c r="D1255" s="44"/>
      <c r="E1255" s="44"/>
      <c r="F1255" s="44"/>
      <c r="G1255" s="44"/>
      <c r="H1255" s="44"/>
      <c r="I1255" s="44"/>
    </row>
    <row r="1256">
      <c r="A1256" s="44"/>
      <c r="B1256" s="44"/>
      <c r="C1256" s="71"/>
      <c r="D1256" s="44"/>
      <c r="E1256" s="44"/>
      <c r="F1256" s="44"/>
      <c r="G1256" s="44"/>
      <c r="H1256" s="44"/>
      <c r="I1256" s="44"/>
    </row>
    <row r="1257">
      <c r="A1257" s="44"/>
      <c r="B1257" s="44"/>
      <c r="C1257" s="71"/>
      <c r="D1257" s="44"/>
      <c r="E1257" s="44"/>
      <c r="F1257" s="44"/>
      <c r="G1257" s="44"/>
      <c r="H1257" s="44"/>
      <c r="I1257" s="44"/>
    </row>
    <row r="1258">
      <c r="A1258" s="44"/>
      <c r="B1258" s="44"/>
      <c r="C1258" s="71"/>
      <c r="D1258" s="44"/>
      <c r="E1258" s="44"/>
      <c r="F1258" s="44"/>
      <c r="G1258" s="44"/>
      <c r="H1258" s="44"/>
      <c r="I1258" s="44"/>
    </row>
    <row r="1259">
      <c r="A1259" s="44"/>
      <c r="B1259" s="44"/>
      <c r="C1259" s="71"/>
      <c r="D1259" s="44"/>
      <c r="E1259" s="44"/>
      <c r="F1259" s="44"/>
      <c r="G1259" s="44"/>
      <c r="H1259" s="44"/>
      <c r="I1259" s="44"/>
    </row>
    <row r="1260">
      <c r="A1260" s="44"/>
      <c r="B1260" s="44"/>
      <c r="C1260" s="71"/>
      <c r="D1260" s="44"/>
      <c r="E1260" s="44"/>
      <c r="F1260" s="44"/>
      <c r="G1260" s="44"/>
      <c r="H1260" s="44"/>
      <c r="I1260" s="44"/>
    </row>
    <row r="1261">
      <c r="A1261" s="44"/>
      <c r="B1261" s="44"/>
      <c r="C1261" s="71"/>
      <c r="D1261" s="44"/>
      <c r="E1261" s="44"/>
      <c r="F1261" s="44"/>
      <c r="G1261" s="44"/>
      <c r="H1261" s="44"/>
      <c r="I1261" s="44"/>
    </row>
    <row r="1262">
      <c r="A1262" s="44"/>
      <c r="B1262" s="44"/>
      <c r="C1262" s="71"/>
      <c r="D1262" s="44"/>
      <c r="E1262" s="44"/>
      <c r="F1262" s="44"/>
      <c r="G1262" s="44"/>
      <c r="H1262" s="44"/>
      <c r="I1262" s="44"/>
    </row>
    <row r="1263">
      <c r="A1263" s="44"/>
      <c r="B1263" s="44"/>
      <c r="C1263" s="71"/>
      <c r="D1263" s="44"/>
      <c r="E1263" s="44"/>
      <c r="F1263" s="44"/>
      <c r="G1263" s="44"/>
      <c r="H1263" s="44"/>
      <c r="I1263" s="44"/>
    </row>
    <row r="1264">
      <c r="A1264" s="44"/>
      <c r="B1264" s="44"/>
      <c r="C1264" s="71"/>
      <c r="D1264" s="44"/>
      <c r="E1264" s="44"/>
      <c r="F1264" s="44"/>
      <c r="G1264" s="44"/>
      <c r="H1264" s="44"/>
      <c r="I1264" s="44"/>
    </row>
    <row r="1265">
      <c r="A1265" s="44"/>
      <c r="B1265" s="44"/>
      <c r="C1265" s="71"/>
      <c r="D1265" s="44"/>
      <c r="E1265" s="44"/>
      <c r="F1265" s="44"/>
      <c r="G1265" s="44"/>
      <c r="H1265" s="44"/>
      <c r="I1265" s="44"/>
    </row>
    <row r="1266">
      <c r="A1266" s="44"/>
      <c r="B1266" s="44"/>
      <c r="C1266" s="71"/>
      <c r="D1266" s="44"/>
      <c r="E1266" s="44"/>
      <c r="F1266" s="44"/>
      <c r="G1266" s="44"/>
      <c r="H1266" s="44"/>
      <c r="I1266" s="44"/>
    </row>
    <row r="1267">
      <c r="A1267" s="44"/>
      <c r="B1267" s="44"/>
      <c r="C1267" s="71"/>
      <c r="D1267" s="44"/>
      <c r="E1267" s="44"/>
      <c r="F1267" s="44"/>
      <c r="G1267" s="44"/>
      <c r="H1267" s="44"/>
      <c r="I1267" s="44"/>
    </row>
    <row r="1268">
      <c r="A1268" s="44"/>
      <c r="B1268" s="44"/>
      <c r="C1268" s="71"/>
      <c r="D1268" s="44"/>
      <c r="E1268" s="44"/>
      <c r="F1268" s="44"/>
      <c r="G1268" s="44"/>
      <c r="H1268" s="44"/>
      <c r="I1268" s="44"/>
    </row>
    <row r="1269">
      <c r="A1269" s="44"/>
      <c r="B1269" s="44"/>
      <c r="C1269" s="71"/>
      <c r="D1269" s="44"/>
      <c r="E1269" s="44"/>
      <c r="F1269" s="44"/>
      <c r="G1269" s="44"/>
      <c r="H1269" s="44"/>
      <c r="I1269" s="44"/>
    </row>
    <row r="1270">
      <c r="A1270" s="44"/>
      <c r="B1270" s="44"/>
      <c r="C1270" s="71"/>
      <c r="D1270" s="44"/>
      <c r="E1270" s="44"/>
      <c r="F1270" s="44"/>
      <c r="G1270" s="44"/>
      <c r="H1270" s="44"/>
      <c r="I1270" s="44"/>
    </row>
    <row r="1271">
      <c r="A1271" s="44"/>
      <c r="B1271" s="44"/>
      <c r="C1271" s="71"/>
      <c r="D1271" s="44"/>
      <c r="E1271" s="44"/>
      <c r="F1271" s="44"/>
      <c r="G1271" s="44"/>
      <c r="H1271" s="44"/>
      <c r="I1271" s="44"/>
    </row>
    <row r="1272">
      <c r="A1272" s="44"/>
      <c r="B1272" s="44"/>
      <c r="C1272" s="71"/>
      <c r="D1272" s="44"/>
      <c r="E1272" s="44"/>
      <c r="F1272" s="44"/>
      <c r="G1272" s="44"/>
      <c r="H1272" s="44"/>
      <c r="I1272" s="44"/>
    </row>
    <row r="1273">
      <c r="A1273" s="44"/>
      <c r="B1273" s="44"/>
      <c r="C1273" s="71"/>
      <c r="D1273" s="44"/>
      <c r="E1273" s="44"/>
      <c r="F1273" s="44"/>
      <c r="G1273" s="44"/>
      <c r="H1273" s="44"/>
      <c r="I1273" s="44"/>
    </row>
    <row r="1274">
      <c r="A1274" s="44"/>
      <c r="B1274" s="44"/>
      <c r="C1274" s="71"/>
      <c r="D1274" s="44"/>
      <c r="E1274" s="44"/>
      <c r="F1274" s="44"/>
      <c r="G1274" s="44"/>
      <c r="H1274" s="44"/>
      <c r="I1274" s="44"/>
    </row>
    <row r="1275">
      <c r="A1275" s="44"/>
      <c r="B1275" s="44"/>
      <c r="C1275" s="71"/>
      <c r="D1275" s="44"/>
      <c r="E1275" s="44"/>
      <c r="F1275" s="44"/>
      <c r="G1275" s="44"/>
      <c r="H1275" s="44"/>
      <c r="I1275" s="44"/>
    </row>
    <row r="1276">
      <c r="A1276" s="44"/>
      <c r="B1276" s="44"/>
      <c r="C1276" s="71"/>
      <c r="D1276" s="44"/>
      <c r="E1276" s="44"/>
      <c r="F1276" s="44"/>
      <c r="G1276" s="44"/>
      <c r="H1276" s="44"/>
      <c r="I1276" s="44"/>
    </row>
    <row r="1277">
      <c r="A1277" s="44"/>
      <c r="B1277" s="44"/>
      <c r="C1277" s="71"/>
      <c r="D1277" s="44"/>
      <c r="E1277" s="44"/>
      <c r="F1277" s="44"/>
      <c r="G1277" s="44"/>
      <c r="H1277" s="44"/>
      <c r="I1277" s="44"/>
    </row>
    <row r="1278">
      <c r="A1278" s="44"/>
      <c r="B1278" s="44"/>
      <c r="C1278" s="71"/>
      <c r="D1278" s="44"/>
      <c r="E1278" s="44"/>
      <c r="F1278" s="44"/>
      <c r="G1278" s="44"/>
      <c r="H1278" s="44"/>
      <c r="I1278" s="44"/>
    </row>
    <row r="1279">
      <c r="A1279" s="44"/>
      <c r="B1279" s="44"/>
      <c r="C1279" s="71"/>
      <c r="D1279" s="44"/>
      <c r="E1279" s="44"/>
      <c r="F1279" s="44"/>
      <c r="G1279" s="44"/>
      <c r="H1279" s="44"/>
      <c r="I1279" s="44"/>
    </row>
    <row r="1280">
      <c r="A1280" s="44"/>
      <c r="B1280" s="44"/>
      <c r="C1280" s="71"/>
      <c r="D1280" s="44"/>
      <c r="E1280" s="44"/>
      <c r="F1280" s="44"/>
      <c r="G1280" s="44"/>
      <c r="H1280" s="44"/>
      <c r="I1280" s="44"/>
    </row>
    <row r="1281">
      <c r="A1281" s="44"/>
      <c r="B1281" s="44"/>
      <c r="C1281" s="71"/>
      <c r="D1281" s="44"/>
      <c r="E1281" s="44"/>
      <c r="F1281" s="44"/>
      <c r="G1281" s="44"/>
      <c r="H1281" s="44"/>
      <c r="I1281" s="44"/>
    </row>
    <row r="1282">
      <c r="A1282" s="44"/>
      <c r="B1282" s="44"/>
      <c r="C1282" s="71"/>
      <c r="D1282" s="44"/>
      <c r="E1282" s="44"/>
      <c r="F1282" s="44"/>
      <c r="G1282" s="44"/>
      <c r="H1282" s="44"/>
      <c r="I1282" s="44"/>
    </row>
    <row r="1283">
      <c r="A1283" s="44"/>
      <c r="B1283" s="44"/>
      <c r="C1283" s="71"/>
      <c r="D1283" s="44"/>
      <c r="E1283" s="44"/>
      <c r="F1283" s="44"/>
      <c r="G1283" s="44"/>
      <c r="H1283" s="44"/>
      <c r="I1283" s="44"/>
    </row>
    <row r="1284">
      <c r="A1284" s="44"/>
      <c r="B1284" s="44"/>
      <c r="C1284" s="71"/>
      <c r="D1284" s="44"/>
      <c r="E1284" s="44"/>
      <c r="F1284" s="44"/>
      <c r="G1284" s="44"/>
      <c r="H1284" s="44"/>
      <c r="I1284" s="44"/>
    </row>
    <row r="1285">
      <c r="A1285" s="44"/>
      <c r="B1285" s="44"/>
      <c r="C1285" s="71"/>
      <c r="D1285" s="44"/>
      <c r="E1285" s="44"/>
      <c r="F1285" s="44"/>
      <c r="G1285" s="44"/>
      <c r="H1285" s="44"/>
      <c r="I1285" s="44"/>
    </row>
    <row r="1286">
      <c r="A1286" s="44"/>
      <c r="B1286" s="44"/>
      <c r="C1286" s="71"/>
      <c r="D1286" s="44"/>
      <c r="E1286" s="44"/>
      <c r="F1286" s="44"/>
      <c r="G1286" s="44"/>
      <c r="H1286" s="44"/>
      <c r="I1286" s="44"/>
    </row>
    <row r="1287">
      <c r="A1287" s="44"/>
      <c r="B1287" s="44"/>
      <c r="C1287" s="71"/>
      <c r="D1287" s="44"/>
      <c r="E1287" s="44"/>
      <c r="F1287" s="44"/>
      <c r="G1287" s="44"/>
      <c r="H1287" s="44"/>
      <c r="I1287" s="44"/>
    </row>
    <row r="1288">
      <c r="A1288" s="44"/>
      <c r="B1288" s="44"/>
      <c r="C1288" s="71"/>
      <c r="D1288" s="44"/>
      <c r="E1288" s="44"/>
      <c r="F1288" s="44"/>
      <c r="G1288" s="44"/>
      <c r="H1288" s="44"/>
      <c r="I1288" s="44"/>
    </row>
    <row r="1289">
      <c r="A1289" s="44"/>
      <c r="B1289" s="44"/>
      <c r="C1289" s="71"/>
      <c r="D1289" s="44"/>
      <c r="E1289" s="44"/>
      <c r="F1289" s="44"/>
      <c r="G1289" s="44"/>
      <c r="H1289" s="44"/>
      <c r="I1289" s="44"/>
    </row>
    <row r="1290">
      <c r="A1290" s="44"/>
      <c r="B1290" s="44"/>
      <c r="C1290" s="71"/>
      <c r="D1290" s="44"/>
      <c r="E1290" s="44"/>
      <c r="F1290" s="44"/>
      <c r="G1290" s="44"/>
      <c r="H1290" s="44"/>
      <c r="I1290" s="44"/>
    </row>
    <row r="1291">
      <c r="A1291" s="44"/>
      <c r="B1291" s="44"/>
      <c r="C1291" s="71"/>
      <c r="D1291" s="44"/>
      <c r="E1291" s="44"/>
      <c r="F1291" s="44"/>
      <c r="G1291" s="44"/>
      <c r="H1291" s="44"/>
      <c r="I1291" s="44"/>
    </row>
    <row r="1292">
      <c r="A1292" s="44"/>
      <c r="B1292" s="44"/>
      <c r="C1292" s="71"/>
      <c r="D1292" s="44"/>
      <c r="E1292" s="44"/>
      <c r="F1292" s="44"/>
      <c r="G1292" s="44"/>
      <c r="H1292" s="44"/>
      <c r="I1292" s="44"/>
    </row>
    <row r="1293">
      <c r="A1293" s="44"/>
      <c r="B1293" s="44"/>
      <c r="C1293" s="71"/>
      <c r="D1293" s="44"/>
      <c r="E1293" s="44"/>
      <c r="F1293" s="44"/>
      <c r="G1293" s="44"/>
      <c r="H1293" s="44"/>
      <c r="I1293" s="44"/>
    </row>
    <row r="1294">
      <c r="A1294" s="44"/>
      <c r="B1294" s="44"/>
      <c r="C1294" s="71"/>
      <c r="D1294" s="44"/>
      <c r="E1294" s="44"/>
      <c r="F1294" s="44"/>
      <c r="G1294" s="44"/>
      <c r="H1294" s="44"/>
      <c r="I1294" s="44"/>
    </row>
    <row r="1295">
      <c r="A1295" s="44"/>
      <c r="B1295" s="44"/>
      <c r="C1295" s="71"/>
      <c r="D1295" s="44"/>
      <c r="E1295" s="44"/>
      <c r="F1295" s="44"/>
      <c r="G1295" s="44"/>
      <c r="H1295" s="44"/>
      <c r="I1295" s="44"/>
    </row>
    <row r="1296">
      <c r="A1296" s="44"/>
      <c r="B1296" s="44"/>
      <c r="C1296" s="71"/>
      <c r="D1296" s="44"/>
      <c r="E1296" s="44"/>
      <c r="F1296" s="44"/>
      <c r="G1296" s="44"/>
      <c r="H1296" s="44"/>
      <c r="I1296" s="44"/>
    </row>
    <row r="1297">
      <c r="A1297" s="44"/>
      <c r="B1297" s="44"/>
      <c r="C1297" s="71"/>
      <c r="D1297" s="44"/>
      <c r="E1297" s="44"/>
      <c r="F1297" s="44"/>
      <c r="G1297" s="44"/>
      <c r="H1297" s="44"/>
      <c r="I1297" s="44"/>
    </row>
    <row r="1298">
      <c r="A1298" s="44"/>
      <c r="B1298" s="44"/>
      <c r="C1298" s="71"/>
      <c r="D1298" s="44"/>
      <c r="E1298" s="44"/>
      <c r="F1298" s="44"/>
      <c r="G1298" s="44"/>
      <c r="H1298" s="44"/>
      <c r="I1298" s="44"/>
    </row>
    <row r="1299">
      <c r="A1299" s="44"/>
      <c r="B1299" s="44"/>
      <c r="C1299" s="71"/>
      <c r="D1299" s="44"/>
      <c r="E1299" s="44"/>
      <c r="F1299" s="44"/>
      <c r="G1299" s="44"/>
      <c r="H1299" s="44"/>
      <c r="I1299" s="44"/>
    </row>
    <row r="1300">
      <c r="A1300" s="44"/>
      <c r="B1300" s="44"/>
      <c r="C1300" s="71"/>
      <c r="D1300" s="44"/>
      <c r="E1300" s="44"/>
      <c r="F1300" s="44"/>
      <c r="G1300" s="44"/>
      <c r="H1300" s="44"/>
      <c r="I1300" s="44"/>
    </row>
    <row r="1301">
      <c r="A1301" s="44"/>
      <c r="B1301" s="44"/>
      <c r="C1301" s="71"/>
      <c r="D1301" s="44"/>
      <c r="E1301" s="44"/>
      <c r="F1301" s="44"/>
      <c r="G1301" s="44"/>
      <c r="H1301" s="44"/>
      <c r="I1301" s="44"/>
    </row>
    <row r="1302">
      <c r="A1302" s="44"/>
      <c r="B1302" s="44"/>
      <c r="C1302" s="71"/>
      <c r="D1302" s="44"/>
      <c r="E1302" s="44"/>
      <c r="F1302" s="44"/>
      <c r="G1302" s="44"/>
      <c r="H1302" s="44"/>
      <c r="I1302" s="44"/>
    </row>
    <row r="1303">
      <c r="A1303" s="44"/>
      <c r="B1303" s="44"/>
      <c r="C1303" s="71"/>
      <c r="D1303" s="44"/>
      <c r="E1303" s="44"/>
      <c r="F1303" s="44"/>
      <c r="G1303" s="44"/>
      <c r="H1303" s="44"/>
      <c r="I1303" s="44"/>
    </row>
    <row r="1304">
      <c r="A1304" s="44"/>
      <c r="B1304" s="44"/>
      <c r="C1304" s="71"/>
      <c r="D1304" s="44"/>
      <c r="E1304" s="44"/>
      <c r="F1304" s="44"/>
      <c r="G1304" s="44"/>
      <c r="H1304" s="44"/>
      <c r="I1304" s="44"/>
    </row>
    <row r="1305">
      <c r="A1305" s="44"/>
      <c r="B1305" s="44"/>
      <c r="C1305" s="71"/>
      <c r="D1305" s="44"/>
      <c r="E1305" s="44"/>
      <c r="F1305" s="44"/>
      <c r="G1305" s="44"/>
      <c r="H1305" s="44"/>
      <c r="I1305" s="44"/>
    </row>
    <row r="1306">
      <c r="A1306" s="44"/>
      <c r="B1306" s="44"/>
      <c r="C1306" s="71"/>
      <c r="D1306" s="44"/>
      <c r="E1306" s="44"/>
      <c r="F1306" s="44"/>
      <c r="G1306" s="44"/>
      <c r="H1306" s="44"/>
      <c r="I1306" s="44"/>
    </row>
    <row r="1307">
      <c r="A1307" s="44"/>
      <c r="B1307" s="44"/>
      <c r="C1307" s="71"/>
      <c r="D1307" s="44"/>
      <c r="E1307" s="44"/>
      <c r="F1307" s="44"/>
      <c r="G1307" s="44"/>
      <c r="H1307" s="44"/>
      <c r="I1307" s="44"/>
    </row>
    <row r="1308">
      <c r="A1308" s="44"/>
      <c r="B1308" s="44"/>
      <c r="C1308" s="71"/>
      <c r="D1308" s="44"/>
      <c r="E1308" s="44"/>
      <c r="F1308" s="44"/>
      <c r="G1308" s="44"/>
      <c r="H1308" s="44"/>
      <c r="I1308" s="44"/>
    </row>
    <row r="1309">
      <c r="A1309" s="44"/>
      <c r="B1309" s="44"/>
      <c r="C1309" s="71"/>
      <c r="D1309" s="44"/>
      <c r="E1309" s="44"/>
      <c r="F1309" s="44"/>
      <c r="G1309" s="44"/>
      <c r="H1309" s="44"/>
      <c r="I1309" s="44"/>
    </row>
    <row r="1310">
      <c r="A1310" s="44"/>
      <c r="B1310" s="44"/>
      <c r="C1310" s="71"/>
      <c r="D1310" s="44"/>
      <c r="E1310" s="44"/>
      <c r="F1310" s="44"/>
      <c r="G1310" s="44"/>
      <c r="H1310" s="44"/>
      <c r="I1310" s="44"/>
    </row>
    <row r="1311">
      <c r="A1311" s="44"/>
      <c r="B1311" s="44"/>
      <c r="C1311" s="71"/>
      <c r="D1311" s="44"/>
      <c r="E1311" s="44"/>
      <c r="F1311" s="44"/>
      <c r="G1311" s="44"/>
      <c r="H1311" s="44"/>
      <c r="I1311" s="44"/>
    </row>
    <row r="1312">
      <c r="A1312" s="44"/>
      <c r="B1312" s="44"/>
      <c r="C1312" s="71"/>
      <c r="D1312" s="44"/>
      <c r="E1312" s="44"/>
      <c r="F1312" s="44"/>
      <c r="G1312" s="44"/>
      <c r="H1312" s="44"/>
      <c r="I1312" s="44"/>
    </row>
    <row r="1313">
      <c r="A1313" s="44"/>
      <c r="B1313" s="44"/>
      <c r="C1313" s="71"/>
      <c r="D1313" s="44"/>
      <c r="E1313" s="44"/>
      <c r="F1313" s="44"/>
      <c r="G1313" s="44"/>
      <c r="H1313" s="44"/>
      <c r="I1313" s="44"/>
    </row>
    <row r="1314">
      <c r="A1314" s="44"/>
      <c r="B1314" s="44"/>
      <c r="C1314" s="71"/>
      <c r="D1314" s="44"/>
      <c r="E1314" s="44"/>
      <c r="F1314" s="44"/>
      <c r="G1314" s="44"/>
      <c r="H1314" s="44"/>
      <c r="I1314" s="44"/>
    </row>
    <row r="1315">
      <c r="A1315" s="44"/>
      <c r="B1315" s="44"/>
      <c r="C1315" s="71"/>
      <c r="D1315" s="44"/>
      <c r="E1315" s="44"/>
      <c r="F1315" s="44"/>
      <c r="G1315" s="44"/>
      <c r="H1315" s="44"/>
      <c r="I1315" s="44"/>
    </row>
    <row r="1316">
      <c r="A1316" s="44"/>
      <c r="B1316" s="44"/>
      <c r="C1316" s="71"/>
      <c r="D1316" s="44"/>
      <c r="E1316" s="44"/>
      <c r="F1316" s="44"/>
      <c r="G1316" s="44"/>
      <c r="H1316" s="44"/>
      <c r="I1316" s="44"/>
    </row>
    <row r="1317">
      <c r="A1317" s="44"/>
      <c r="B1317" s="44"/>
      <c r="C1317" s="71"/>
      <c r="D1317" s="44"/>
      <c r="E1317" s="44"/>
      <c r="F1317" s="44"/>
      <c r="G1317" s="44"/>
      <c r="H1317" s="44"/>
      <c r="I1317" s="44"/>
    </row>
    <row r="1318">
      <c r="A1318" s="44"/>
      <c r="B1318" s="44"/>
      <c r="C1318" s="71"/>
      <c r="D1318" s="44"/>
      <c r="E1318" s="44"/>
      <c r="F1318" s="44"/>
      <c r="G1318" s="44"/>
      <c r="H1318" s="44"/>
      <c r="I1318" s="44"/>
    </row>
    <row r="1319">
      <c r="A1319" s="44"/>
      <c r="B1319" s="44"/>
      <c r="C1319" s="71"/>
      <c r="D1319" s="44"/>
      <c r="E1319" s="44"/>
      <c r="F1319" s="44"/>
      <c r="G1319" s="44"/>
      <c r="H1319" s="44"/>
      <c r="I1319" s="44"/>
    </row>
    <row r="1320">
      <c r="A1320" s="44"/>
      <c r="B1320" s="44"/>
      <c r="C1320" s="71"/>
      <c r="D1320" s="44"/>
      <c r="E1320" s="44"/>
      <c r="F1320" s="44"/>
      <c r="G1320" s="44"/>
      <c r="H1320" s="44"/>
      <c r="I1320" s="44"/>
    </row>
    <row r="1321">
      <c r="A1321" s="44"/>
      <c r="B1321" s="44"/>
      <c r="C1321" s="71"/>
      <c r="D1321" s="44"/>
      <c r="E1321" s="44"/>
      <c r="F1321" s="44"/>
      <c r="G1321" s="44"/>
      <c r="H1321" s="44"/>
      <c r="I1321" s="44"/>
    </row>
    <row r="1322">
      <c r="A1322" s="44"/>
      <c r="B1322" s="44"/>
      <c r="C1322" s="71"/>
      <c r="D1322" s="44"/>
      <c r="E1322" s="44"/>
      <c r="F1322" s="44"/>
      <c r="G1322" s="44"/>
      <c r="H1322" s="44"/>
      <c r="I1322" s="44"/>
    </row>
    <row r="1323">
      <c r="A1323" s="44"/>
      <c r="B1323" s="44"/>
      <c r="C1323" s="71"/>
      <c r="D1323" s="44"/>
      <c r="E1323" s="44"/>
      <c r="F1323" s="44"/>
      <c r="G1323" s="44"/>
      <c r="H1323" s="44"/>
      <c r="I1323" s="44"/>
    </row>
    <row r="1324">
      <c r="A1324" s="44"/>
      <c r="B1324" s="44"/>
      <c r="C1324" s="71"/>
      <c r="D1324" s="44"/>
      <c r="E1324" s="44"/>
      <c r="F1324" s="44"/>
      <c r="G1324" s="44"/>
      <c r="H1324" s="44"/>
      <c r="I1324" s="44"/>
    </row>
    <row r="1325">
      <c r="A1325" s="44"/>
      <c r="B1325" s="44"/>
      <c r="C1325" s="71"/>
      <c r="D1325" s="44"/>
      <c r="E1325" s="44"/>
      <c r="F1325" s="44"/>
      <c r="G1325" s="44"/>
      <c r="H1325" s="44"/>
      <c r="I1325" s="44"/>
    </row>
    <row r="1326">
      <c r="A1326" s="44"/>
      <c r="B1326" s="44"/>
      <c r="C1326" s="71"/>
      <c r="D1326" s="44"/>
      <c r="E1326" s="44"/>
      <c r="F1326" s="44"/>
      <c r="G1326" s="44"/>
      <c r="H1326" s="44"/>
      <c r="I1326" s="44"/>
    </row>
    <row r="1327">
      <c r="A1327" s="44"/>
      <c r="B1327" s="44"/>
      <c r="C1327" s="71"/>
      <c r="D1327" s="44"/>
      <c r="E1327" s="44"/>
      <c r="F1327" s="44"/>
      <c r="G1327" s="44"/>
      <c r="H1327" s="44"/>
      <c r="I1327" s="44"/>
    </row>
    <row r="1328">
      <c r="A1328" s="44"/>
      <c r="B1328" s="44"/>
      <c r="C1328" s="71"/>
      <c r="D1328" s="44"/>
      <c r="E1328" s="44"/>
      <c r="F1328" s="44"/>
      <c r="G1328" s="44"/>
      <c r="H1328" s="44"/>
      <c r="I1328" s="44"/>
    </row>
    <row r="1329">
      <c r="A1329" s="44"/>
      <c r="B1329" s="44"/>
      <c r="C1329" s="71"/>
      <c r="D1329" s="44"/>
      <c r="E1329" s="44"/>
      <c r="F1329" s="44"/>
      <c r="G1329" s="44"/>
      <c r="H1329" s="44"/>
      <c r="I1329" s="44"/>
    </row>
    <row r="1330">
      <c r="A1330" s="44"/>
      <c r="B1330" s="44"/>
      <c r="C1330" s="71"/>
      <c r="D1330" s="44"/>
      <c r="E1330" s="44"/>
      <c r="F1330" s="44"/>
      <c r="G1330" s="44"/>
      <c r="H1330" s="44"/>
      <c r="I1330" s="44"/>
    </row>
    <row r="1331">
      <c r="A1331" s="44"/>
      <c r="B1331" s="44"/>
      <c r="C1331" s="71"/>
      <c r="D1331" s="44"/>
      <c r="E1331" s="44"/>
      <c r="F1331" s="44"/>
      <c r="G1331" s="44"/>
      <c r="H1331" s="44"/>
      <c r="I1331" s="44"/>
    </row>
    <row r="1332">
      <c r="A1332" s="44"/>
      <c r="B1332" s="44"/>
      <c r="C1332" s="71"/>
      <c r="D1332" s="44"/>
      <c r="E1332" s="44"/>
      <c r="F1332" s="44"/>
      <c r="G1332" s="44"/>
      <c r="H1332" s="44"/>
      <c r="I1332" s="44"/>
    </row>
    <row r="1333">
      <c r="A1333" s="44"/>
      <c r="B1333" s="44"/>
      <c r="C1333" s="71"/>
      <c r="D1333" s="44"/>
      <c r="E1333" s="44"/>
      <c r="F1333" s="44"/>
      <c r="G1333" s="44"/>
      <c r="H1333" s="44"/>
      <c r="I1333" s="44"/>
    </row>
    <row r="1334">
      <c r="A1334" s="44"/>
      <c r="B1334" s="44"/>
      <c r="C1334" s="71"/>
      <c r="D1334" s="44"/>
      <c r="E1334" s="44"/>
      <c r="F1334" s="44"/>
      <c r="G1334" s="44"/>
      <c r="H1334" s="44"/>
      <c r="I1334" s="44"/>
    </row>
    <row r="1335">
      <c r="A1335" s="44"/>
      <c r="B1335" s="44"/>
      <c r="C1335" s="71"/>
      <c r="D1335" s="44"/>
      <c r="E1335" s="44"/>
      <c r="F1335" s="44"/>
      <c r="G1335" s="44"/>
      <c r="H1335" s="44"/>
      <c r="I1335" s="44"/>
    </row>
    <row r="1336">
      <c r="A1336" s="44"/>
      <c r="B1336" s="44"/>
      <c r="C1336" s="71"/>
      <c r="D1336" s="44"/>
      <c r="E1336" s="44"/>
      <c r="F1336" s="44"/>
      <c r="G1336" s="44"/>
      <c r="H1336" s="44"/>
      <c r="I1336" s="44"/>
    </row>
  </sheetData>
  <autoFilter ref="$B$41:$I$556"/>
  <customSheetViews>
    <customSheetView guid="{7E2DC08E-42AC-43D8-8C70-258D8904AA44}" filter="1" showAutoFilter="1">
      <autoFilter ref="$A$42:$I$548"/>
    </customSheetView>
    <customSheetView guid="{337816CC-850F-4D8A-9A21-5D6FA7C66D79}" filter="1" showAutoFilter="1">
      <autoFilter ref="$A$42:$I$548"/>
    </customSheetView>
  </customSheetView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4.75"/>
    <col customWidth="1" min="2" max="2" width="15.38"/>
    <col customWidth="1" min="3" max="3" width="21.5"/>
    <col customWidth="1" min="4" max="4" width="16.88"/>
    <col customWidth="1" min="5" max="8" width="23.63"/>
    <col customWidth="1" min="9" max="10" width="19.75"/>
    <col customWidth="1" min="11" max="11" width="14.5"/>
    <col customWidth="1" min="12" max="14" width="26.63"/>
    <col customWidth="1" min="15" max="15" width="25.63"/>
    <col customWidth="1" min="17" max="17" width="38.25"/>
    <col customWidth="1" min="18" max="18" width="24.88"/>
  </cols>
  <sheetData>
    <row r="1">
      <c r="A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5"/>
      <c r="C2" s="5"/>
      <c r="D2" s="3"/>
      <c r="E2" s="7"/>
      <c r="F2" s="7"/>
      <c r="G2" s="7"/>
      <c r="H2" s="7"/>
      <c r="I2" s="5"/>
      <c r="J2" s="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9" t="s">
        <v>3</v>
      </c>
      <c r="B3" s="11" t="s">
        <v>4</v>
      </c>
      <c r="C3" s="9" t="s">
        <v>6</v>
      </c>
      <c r="D3" s="28" t="s">
        <v>16</v>
      </c>
      <c r="E3" s="28" t="s">
        <v>18</v>
      </c>
      <c r="F3" s="15" t="s">
        <v>11</v>
      </c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20" t="s">
        <v>13</v>
      </c>
      <c r="B4" s="30">
        <v>3151.25</v>
      </c>
      <c r="C4" s="30">
        <v>2610.0</v>
      </c>
      <c r="D4" s="31"/>
      <c r="E4" s="32"/>
      <c r="F4" s="34">
        <f t="shared" ref="F4:F27" si="1">SUM(B4:D4)</f>
        <v>5761.25</v>
      </c>
    </row>
    <row r="5">
      <c r="A5" s="20" t="s">
        <v>15</v>
      </c>
      <c r="B5" s="30">
        <v>40695.98</v>
      </c>
      <c r="C5" s="37"/>
      <c r="D5" s="38"/>
      <c r="E5" s="32"/>
      <c r="F5" s="34">
        <f t="shared" si="1"/>
        <v>40695.98</v>
      </c>
      <c r="G5" s="39"/>
    </row>
    <row r="6">
      <c r="A6" s="20" t="s">
        <v>17</v>
      </c>
      <c r="B6" s="30">
        <v>10831.75</v>
      </c>
      <c r="C6" s="37">
        <v>870.0</v>
      </c>
      <c r="D6" s="38"/>
      <c r="E6" s="32"/>
      <c r="F6" s="34">
        <f t="shared" si="1"/>
        <v>11701.75</v>
      </c>
    </row>
    <row r="7">
      <c r="A7" s="20" t="s">
        <v>19</v>
      </c>
      <c r="B7" s="30">
        <v>825.0</v>
      </c>
      <c r="C7" s="30"/>
      <c r="D7" s="31"/>
      <c r="E7" s="32"/>
      <c r="F7" s="34">
        <f t="shared" si="1"/>
        <v>825</v>
      </c>
    </row>
    <row r="8">
      <c r="A8" s="20" t="s">
        <v>21</v>
      </c>
      <c r="B8" s="30">
        <v>910.0</v>
      </c>
      <c r="C8" s="30"/>
      <c r="D8" s="31"/>
      <c r="E8" s="32"/>
      <c r="F8" s="32">
        <f t="shared" si="1"/>
        <v>910</v>
      </c>
    </row>
    <row r="9">
      <c r="A9" s="20" t="s">
        <v>22</v>
      </c>
      <c r="B9" s="30">
        <v>1672.95</v>
      </c>
      <c r="C9" s="30"/>
      <c r="D9" s="31"/>
      <c r="E9" s="32"/>
      <c r="F9" s="32">
        <f t="shared" si="1"/>
        <v>1672.95</v>
      </c>
    </row>
    <row r="10">
      <c r="A10" s="20" t="s">
        <v>23</v>
      </c>
      <c r="B10" s="30">
        <v>7584.99</v>
      </c>
      <c r="C10" s="37">
        <v>1247.0</v>
      </c>
      <c r="D10" s="38"/>
      <c r="E10" s="32"/>
      <c r="F10" s="32">
        <f t="shared" si="1"/>
        <v>8831.99</v>
      </c>
    </row>
    <row r="11">
      <c r="A11" s="20" t="s">
        <v>24</v>
      </c>
      <c r="B11" s="30">
        <v>399.6</v>
      </c>
      <c r="C11" s="30"/>
      <c r="D11" s="38"/>
      <c r="E11" s="32"/>
      <c r="F11" s="34">
        <f t="shared" si="1"/>
        <v>399.6</v>
      </c>
    </row>
    <row r="12">
      <c r="A12" s="20" t="s">
        <v>25</v>
      </c>
      <c r="B12" s="30">
        <v>863.89</v>
      </c>
      <c r="C12" s="37"/>
      <c r="D12" s="38"/>
      <c r="E12" s="32"/>
      <c r="F12" s="34">
        <f t="shared" si="1"/>
        <v>863.89</v>
      </c>
    </row>
    <row r="13">
      <c r="A13" s="20" t="s">
        <v>26</v>
      </c>
      <c r="B13" s="30">
        <v>15470.0</v>
      </c>
      <c r="C13" s="37"/>
      <c r="D13" s="38"/>
      <c r="E13" s="32"/>
      <c r="F13" s="32">
        <f t="shared" si="1"/>
        <v>15470</v>
      </c>
    </row>
    <row r="14">
      <c r="A14" s="20" t="s">
        <v>28</v>
      </c>
      <c r="B14" s="30">
        <v>25024.0</v>
      </c>
      <c r="C14" s="37">
        <v>1981.67</v>
      </c>
      <c r="D14" s="38"/>
      <c r="E14" s="32"/>
      <c r="F14" s="34">
        <f t="shared" si="1"/>
        <v>27005.67</v>
      </c>
    </row>
    <row r="15">
      <c r="A15" s="20" t="s">
        <v>29</v>
      </c>
      <c r="B15" s="30">
        <v>223.5</v>
      </c>
      <c r="C15" s="30"/>
      <c r="D15" s="38"/>
      <c r="E15" s="32"/>
      <c r="F15" s="32">
        <f t="shared" si="1"/>
        <v>223.5</v>
      </c>
    </row>
    <row r="16">
      <c r="A16" s="20" t="s">
        <v>30</v>
      </c>
      <c r="B16" s="30"/>
      <c r="C16" s="37">
        <v>947.33</v>
      </c>
      <c r="D16" s="42"/>
      <c r="E16" s="32"/>
      <c r="F16" s="32">
        <f t="shared" si="1"/>
        <v>947.33</v>
      </c>
    </row>
    <row r="17">
      <c r="A17" s="20" t="s">
        <v>31</v>
      </c>
      <c r="B17" s="30">
        <v>11897.95</v>
      </c>
      <c r="C17" s="37">
        <v>1740.0</v>
      </c>
      <c r="D17" s="42"/>
      <c r="E17" s="32"/>
      <c r="F17" s="34">
        <f t="shared" si="1"/>
        <v>13637.95</v>
      </c>
    </row>
    <row r="18">
      <c r="A18" s="20" t="s">
        <v>32</v>
      </c>
      <c r="B18" s="30">
        <v>220.5</v>
      </c>
      <c r="C18" s="37"/>
      <c r="D18" s="42"/>
      <c r="E18" s="32"/>
      <c r="F18" s="34">
        <f t="shared" si="1"/>
        <v>220.5</v>
      </c>
    </row>
    <row r="19">
      <c r="A19" s="20" t="s">
        <v>33</v>
      </c>
      <c r="B19" s="30">
        <v>1548.0</v>
      </c>
      <c r="C19" s="37">
        <v>551.94</v>
      </c>
      <c r="D19" s="38"/>
      <c r="E19" s="32"/>
      <c r="F19" s="34">
        <f t="shared" si="1"/>
        <v>2099.94</v>
      </c>
      <c r="G19" s="43"/>
    </row>
    <row r="20">
      <c r="A20" s="20" t="s">
        <v>34</v>
      </c>
      <c r="B20" s="30">
        <v>3691.1</v>
      </c>
      <c r="C20" s="37"/>
      <c r="D20" s="38"/>
      <c r="E20" s="32"/>
      <c r="F20" s="32">
        <f t="shared" si="1"/>
        <v>3691.1</v>
      </c>
    </row>
    <row r="21">
      <c r="A21" s="20" t="s">
        <v>35</v>
      </c>
      <c r="B21" s="30">
        <v>8894.2</v>
      </c>
      <c r="C21" s="37"/>
      <c r="D21" s="38"/>
      <c r="E21" s="32"/>
      <c r="F21" s="34">
        <f t="shared" si="1"/>
        <v>8894.2</v>
      </c>
    </row>
    <row r="22">
      <c r="A22" s="20" t="s">
        <v>47</v>
      </c>
      <c r="B22" s="30"/>
      <c r="C22" s="37">
        <v>106.33</v>
      </c>
      <c r="D22" s="38"/>
      <c r="E22" s="32"/>
      <c r="F22" s="32">
        <f t="shared" si="1"/>
        <v>106.33</v>
      </c>
    </row>
    <row r="23">
      <c r="A23" s="20" t="s">
        <v>37</v>
      </c>
      <c r="B23" s="30"/>
      <c r="C23" s="37">
        <v>290.0</v>
      </c>
      <c r="D23" s="31"/>
      <c r="E23" s="45"/>
      <c r="F23" s="45">
        <f t="shared" si="1"/>
        <v>290</v>
      </c>
    </row>
    <row r="24">
      <c r="A24" s="20" t="s">
        <v>38</v>
      </c>
      <c r="B24" s="30">
        <v>789.5</v>
      </c>
      <c r="C24" s="37"/>
      <c r="D24" s="38"/>
      <c r="E24" s="32"/>
      <c r="F24" s="32">
        <f t="shared" si="1"/>
        <v>789.5</v>
      </c>
    </row>
    <row r="25">
      <c r="A25" s="20" t="s">
        <v>39</v>
      </c>
      <c r="B25" s="30">
        <v>1392.0</v>
      </c>
      <c r="C25" s="37"/>
      <c r="D25" s="38"/>
      <c r="E25" s="32"/>
      <c r="F25" s="32">
        <f t="shared" si="1"/>
        <v>1392</v>
      </c>
    </row>
    <row r="26">
      <c r="A26" s="20" t="s">
        <v>40</v>
      </c>
      <c r="B26" s="30">
        <v>650.0</v>
      </c>
      <c r="C26" s="37"/>
      <c r="D26" s="38"/>
      <c r="E26" s="32"/>
      <c r="F26" s="32">
        <f t="shared" si="1"/>
        <v>650</v>
      </c>
    </row>
    <row r="27">
      <c r="A27" s="20" t="s">
        <v>41</v>
      </c>
      <c r="B27" s="30">
        <v>881.6</v>
      </c>
      <c r="C27" s="37">
        <v>870.0</v>
      </c>
      <c r="D27" s="38"/>
      <c r="E27" s="32"/>
      <c r="F27" s="32">
        <f t="shared" si="1"/>
        <v>1751.6</v>
      </c>
    </row>
    <row r="28">
      <c r="A28" s="20" t="s">
        <v>42</v>
      </c>
      <c r="B28" s="30">
        <v>756.0</v>
      </c>
      <c r="C28" s="37">
        <v>193.33</v>
      </c>
      <c r="D28" s="38"/>
      <c r="E28" s="32">
        <v>-67.2</v>
      </c>
      <c r="F28" s="32">
        <f>SUM(B28:E28)</f>
        <v>882.13</v>
      </c>
    </row>
    <row r="29">
      <c r="A29" s="20" t="s">
        <v>43</v>
      </c>
      <c r="B29" s="30">
        <v>794.05</v>
      </c>
      <c r="C29" s="37"/>
      <c r="D29" s="38"/>
      <c r="E29" s="32"/>
      <c r="F29" s="34">
        <f t="shared" ref="F29:F34" si="2">SUM(B29:D29)</f>
        <v>794.05</v>
      </c>
    </row>
    <row r="30">
      <c r="A30" s="20" t="s">
        <v>44</v>
      </c>
      <c r="B30" s="30">
        <v>2509.45</v>
      </c>
      <c r="C30" s="37"/>
      <c r="D30" s="38"/>
      <c r="E30" s="32"/>
      <c r="F30" s="32">
        <f t="shared" si="2"/>
        <v>2509.45</v>
      </c>
    </row>
    <row r="31">
      <c r="A31" s="20" t="s">
        <v>45</v>
      </c>
      <c r="B31" s="30">
        <v>672.0</v>
      </c>
      <c r="C31" s="37">
        <v>367.33</v>
      </c>
      <c r="D31" s="38"/>
      <c r="E31" s="32"/>
      <c r="F31" s="32">
        <f t="shared" si="2"/>
        <v>1039.33</v>
      </c>
    </row>
    <row r="32">
      <c r="A32" s="20" t="s">
        <v>46</v>
      </c>
      <c r="B32" s="30">
        <v>156.0</v>
      </c>
      <c r="C32" s="51"/>
      <c r="D32" s="38"/>
      <c r="E32" s="32"/>
      <c r="F32" s="32">
        <f t="shared" si="2"/>
        <v>156</v>
      </c>
    </row>
    <row r="33">
      <c r="A33" s="20" t="s">
        <v>48</v>
      </c>
      <c r="B33" s="30">
        <v>2034.85</v>
      </c>
      <c r="C33" s="37"/>
      <c r="D33" s="38"/>
      <c r="E33" s="32"/>
      <c r="F33" s="32">
        <f t="shared" si="2"/>
        <v>2034.85</v>
      </c>
    </row>
    <row r="34">
      <c r="A34" s="20" t="s">
        <v>49</v>
      </c>
      <c r="B34" s="30">
        <v>1008.0</v>
      </c>
      <c r="C34" s="38"/>
      <c r="D34" s="38"/>
      <c r="E34" s="32"/>
      <c r="F34" s="32">
        <f t="shared" si="2"/>
        <v>1008</v>
      </c>
    </row>
    <row r="35">
      <c r="A35" s="46" t="s">
        <v>11</v>
      </c>
      <c r="B35" s="48">
        <f t="shared" ref="B35:D35" si="3">SUM(B4:B34)</f>
        <v>145548.11</v>
      </c>
      <c r="C35" s="48">
        <f t="shared" si="3"/>
        <v>11774.93</v>
      </c>
      <c r="D35" s="48">
        <f t="shared" si="3"/>
        <v>0</v>
      </c>
      <c r="E35" s="48"/>
      <c r="F35" s="48">
        <f>SUM(F4:F34)</f>
        <v>157255.84</v>
      </c>
    </row>
    <row r="38" ht="20.25" customHeight="1">
      <c r="A38" s="49" t="s">
        <v>50</v>
      </c>
      <c r="B38" s="49" t="s">
        <v>51</v>
      </c>
      <c r="C38" s="49" t="s">
        <v>52</v>
      </c>
      <c r="D38" s="49" t="s">
        <v>53</v>
      </c>
      <c r="E38" s="54" t="s">
        <v>54</v>
      </c>
      <c r="F38" s="49" t="s">
        <v>55</v>
      </c>
      <c r="G38" s="49" t="s">
        <v>56</v>
      </c>
      <c r="H38" s="49" t="s">
        <v>57</v>
      </c>
      <c r="I38" s="50" t="s">
        <v>58</v>
      </c>
    </row>
    <row r="39" ht="20.25" customHeight="1">
      <c r="A39" s="20">
        <v>2026.0</v>
      </c>
      <c r="B39" s="20">
        <v>6.0</v>
      </c>
      <c r="C39" s="20" t="s">
        <v>66</v>
      </c>
      <c r="D39" s="20" t="s">
        <v>67</v>
      </c>
      <c r="E39" s="20" t="s">
        <v>13</v>
      </c>
      <c r="F39" s="20" t="s">
        <v>68</v>
      </c>
      <c r="G39" s="20"/>
      <c r="H39" s="20"/>
      <c r="I39" s="21">
        <v>290.0</v>
      </c>
    </row>
    <row r="40" ht="20.25" customHeight="1">
      <c r="A40" s="20">
        <v>2026.0</v>
      </c>
      <c r="B40" s="20">
        <v>4.0</v>
      </c>
      <c r="C40" s="20" t="s">
        <v>69</v>
      </c>
      <c r="D40" s="20" t="s">
        <v>70</v>
      </c>
      <c r="E40" s="20" t="s">
        <v>13</v>
      </c>
      <c r="F40" s="20" t="s">
        <v>68</v>
      </c>
      <c r="G40" s="20"/>
      <c r="H40" s="20"/>
      <c r="I40" s="21">
        <v>290.0</v>
      </c>
    </row>
    <row r="41" ht="20.25" customHeight="1">
      <c r="A41" s="20">
        <v>2026.0</v>
      </c>
      <c r="B41" s="20">
        <v>5.0</v>
      </c>
      <c r="C41" s="20" t="s">
        <v>69</v>
      </c>
      <c r="D41" s="20" t="s">
        <v>70</v>
      </c>
      <c r="E41" s="20" t="s">
        <v>13</v>
      </c>
      <c r="F41" s="20" t="s">
        <v>68</v>
      </c>
      <c r="G41" s="20"/>
      <c r="H41" s="20"/>
      <c r="I41" s="21">
        <v>290.0</v>
      </c>
    </row>
    <row r="42" ht="20.25" customHeight="1">
      <c r="A42" s="20">
        <v>2026.0</v>
      </c>
      <c r="B42" s="20">
        <v>6.0</v>
      </c>
      <c r="C42" s="20" t="s">
        <v>69</v>
      </c>
      <c r="D42" s="20" t="s">
        <v>70</v>
      </c>
      <c r="E42" s="20" t="s">
        <v>13</v>
      </c>
      <c r="F42" s="20" t="s">
        <v>68</v>
      </c>
      <c r="G42" s="20"/>
      <c r="H42" s="20"/>
      <c r="I42" s="21">
        <v>290.0</v>
      </c>
    </row>
    <row r="43" ht="20.25" customHeight="1">
      <c r="A43" s="20">
        <v>2026.0</v>
      </c>
      <c r="B43" s="20">
        <v>4.0</v>
      </c>
      <c r="C43" s="20" t="s">
        <v>72</v>
      </c>
      <c r="D43" s="20" t="s">
        <v>73</v>
      </c>
      <c r="E43" s="20" t="s">
        <v>13</v>
      </c>
      <c r="F43" s="20" t="s">
        <v>68</v>
      </c>
      <c r="G43" s="20"/>
      <c r="H43" s="20"/>
      <c r="I43" s="21">
        <v>290.0</v>
      </c>
    </row>
    <row r="44" ht="20.25" customHeight="1">
      <c r="A44" s="20">
        <v>2026.0</v>
      </c>
      <c r="B44" s="20">
        <v>5.0</v>
      </c>
      <c r="C44" s="20" t="s">
        <v>72</v>
      </c>
      <c r="D44" s="20" t="s">
        <v>73</v>
      </c>
      <c r="E44" s="20" t="s">
        <v>13</v>
      </c>
      <c r="F44" s="20" t="s">
        <v>68</v>
      </c>
      <c r="G44" s="20"/>
      <c r="H44" s="20"/>
      <c r="I44" s="21">
        <v>290.0</v>
      </c>
    </row>
    <row r="45" ht="20.25" customHeight="1">
      <c r="A45" s="20">
        <v>2026.0</v>
      </c>
      <c r="B45" s="20">
        <v>6.0</v>
      </c>
      <c r="C45" s="20" t="s">
        <v>72</v>
      </c>
      <c r="D45" s="20" t="s">
        <v>73</v>
      </c>
      <c r="E45" s="20" t="s">
        <v>13</v>
      </c>
      <c r="F45" s="20" t="s">
        <v>68</v>
      </c>
      <c r="G45" s="20"/>
      <c r="H45" s="20"/>
      <c r="I45" s="21">
        <v>290.0</v>
      </c>
    </row>
    <row r="46" ht="20.25" customHeight="1">
      <c r="A46" s="20">
        <v>2026.0</v>
      </c>
      <c r="B46" s="20">
        <v>4.0</v>
      </c>
      <c r="C46" s="20" t="s">
        <v>74</v>
      </c>
      <c r="D46" s="20" t="s">
        <v>75</v>
      </c>
      <c r="E46" s="20" t="s">
        <v>17</v>
      </c>
      <c r="F46" s="20" t="s">
        <v>68</v>
      </c>
      <c r="G46" s="20"/>
      <c r="H46" s="20"/>
      <c r="I46" s="21">
        <v>290.0</v>
      </c>
    </row>
    <row r="47" ht="20.25" customHeight="1">
      <c r="A47" s="20">
        <v>2026.0</v>
      </c>
      <c r="B47" s="20">
        <v>5.0</v>
      </c>
      <c r="C47" s="20" t="s">
        <v>74</v>
      </c>
      <c r="D47" s="20" t="s">
        <v>75</v>
      </c>
      <c r="E47" s="20" t="s">
        <v>17</v>
      </c>
      <c r="F47" s="20" t="s">
        <v>68</v>
      </c>
      <c r="G47" s="20"/>
      <c r="H47" s="20"/>
      <c r="I47" s="21">
        <v>290.0</v>
      </c>
    </row>
    <row r="48" ht="20.25" customHeight="1">
      <c r="A48" s="20">
        <v>2026.0</v>
      </c>
      <c r="B48" s="20">
        <v>6.0</v>
      </c>
      <c r="C48" s="20" t="s">
        <v>74</v>
      </c>
      <c r="D48" s="20" t="s">
        <v>75</v>
      </c>
      <c r="E48" s="20" t="s">
        <v>17</v>
      </c>
      <c r="F48" s="20" t="s">
        <v>68</v>
      </c>
      <c r="G48" s="20"/>
      <c r="H48" s="20"/>
      <c r="I48" s="21">
        <v>290.0</v>
      </c>
    </row>
    <row r="49" ht="20.25" customHeight="1">
      <c r="A49" s="20">
        <v>2026.0</v>
      </c>
      <c r="B49" s="20">
        <v>4.0</v>
      </c>
      <c r="C49" s="20" t="s">
        <v>78</v>
      </c>
      <c r="D49" s="20" t="s">
        <v>79</v>
      </c>
      <c r="E49" s="20" t="s">
        <v>23</v>
      </c>
      <c r="F49" s="20" t="s">
        <v>68</v>
      </c>
      <c r="G49" s="20"/>
      <c r="H49" s="20"/>
      <c r="I49" s="21">
        <v>87.0</v>
      </c>
    </row>
    <row r="50" ht="20.25" customHeight="1">
      <c r="A50" s="20">
        <v>2026.0</v>
      </c>
      <c r="B50" s="20">
        <v>5.0</v>
      </c>
      <c r="C50" s="20" t="s">
        <v>78</v>
      </c>
      <c r="D50" s="20" t="s">
        <v>79</v>
      </c>
      <c r="E50" s="20" t="s">
        <v>23</v>
      </c>
      <c r="F50" s="20" t="s">
        <v>68</v>
      </c>
      <c r="G50" s="20"/>
      <c r="H50" s="20"/>
      <c r="I50" s="21">
        <v>290.0</v>
      </c>
    </row>
    <row r="51" ht="20.25" customHeight="1">
      <c r="A51" s="20">
        <v>2026.0</v>
      </c>
      <c r="B51" s="20">
        <v>6.0</v>
      </c>
      <c r="C51" s="20" t="s">
        <v>78</v>
      </c>
      <c r="D51" s="20" t="s">
        <v>79</v>
      </c>
      <c r="E51" s="20" t="s">
        <v>23</v>
      </c>
      <c r="F51" s="20" t="s">
        <v>68</v>
      </c>
      <c r="G51" s="20"/>
      <c r="H51" s="20"/>
      <c r="I51" s="21">
        <v>290.0</v>
      </c>
    </row>
    <row r="52" ht="20.25" customHeight="1">
      <c r="A52" s="20">
        <v>2026.0</v>
      </c>
      <c r="B52" s="20">
        <v>4.0</v>
      </c>
      <c r="C52" s="20" t="s">
        <v>80</v>
      </c>
      <c r="D52" s="20" t="s">
        <v>81</v>
      </c>
      <c r="E52" s="20" t="s">
        <v>23</v>
      </c>
      <c r="F52" s="20" t="s">
        <v>68</v>
      </c>
      <c r="G52" s="20"/>
      <c r="H52" s="20"/>
      <c r="I52" s="21">
        <v>290.0</v>
      </c>
    </row>
    <row r="53" ht="20.25" customHeight="1">
      <c r="A53" s="20">
        <v>2026.0</v>
      </c>
      <c r="B53" s="20">
        <v>5.0</v>
      </c>
      <c r="C53" s="20" t="s">
        <v>80</v>
      </c>
      <c r="D53" s="20" t="s">
        <v>81</v>
      </c>
      <c r="E53" s="20" t="s">
        <v>23</v>
      </c>
      <c r="F53" s="20" t="s">
        <v>68</v>
      </c>
      <c r="G53" s="20"/>
      <c r="H53" s="20"/>
      <c r="I53" s="21">
        <v>290.0</v>
      </c>
    </row>
    <row r="54" ht="20.25" customHeight="1">
      <c r="A54" s="20">
        <v>2026.0</v>
      </c>
      <c r="B54" s="20">
        <v>4.0</v>
      </c>
      <c r="C54" s="20" t="s">
        <v>76</v>
      </c>
      <c r="D54" s="20" t="s">
        <v>77</v>
      </c>
      <c r="E54" s="20" t="s">
        <v>28</v>
      </c>
      <c r="F54" s="20" t="s">
        <v>68</v>
      </c>
      <c r="G54" s="20"/>
      <c r="H54" s="20"/>
      <c r="I54" s="21">
        <v>290.0</v>
      </c>
    </row>
    <row r="55" ht="20.25" customHeight="1">
      <c r="A55" s="20">
        <v>2026.0</v>
      </c>
      <c r="B55" s="20">
        <v>5.0</v>
      </c>
      <c r="C55" s="20" t="s">
        <v>76</v>
      </c>
      <c r="D55" s="20" t="s">
        <v>77</v>
      </c>
      <c r="E55" s="20" t="s">
        <v>28</v>
      </c>
      <c r="F55" s="20" t="s">
        <v>68</v>
      </c>
      <c r="G55" s="20"/>
      <c r="H55" s="20"/>
      <c r="I55" s="21">
        <v>290.0</v>
      </c>
    </row>
    <row r="56" ht="20.25" customHeight="1">
      <c r="A56" s="20">
        <v>2026.0</v>
      </c>
      <c r="B56" s="20">
        <v>6.0</v>
      </c>
      <c r="C56" s="20" t="s">
        <v>76</v>
      </c>
      <c r="D56" s="20" t="s">
        <v>77</v>
      </c>
      <c r="E56" s="20" t="s">
        <v>28</v>
      </c>
      <c r="F56" s="20" t="s">
        <v>68</v>
      </c>
      <c r="G56" s="20"/>
      <c r="H56" s="20"/>
      <c r="I56" s="21">
        <v>290.0</v>
      </c>
    </row>
    <row r="57" ht="20.25" customHeight="1">
      <c r="A57" s="20">
        <v>2026.0</v>
      </c>
      <c r="B57" s="20">
        <v>6.0</v>
      </c>
      <c r="C57" s="20" t="s">
        <v>82</v>
      </c>
      <c r="D57" s="20" t="s">
        <v>83</v>
      </c>
      <c r="E57" s="20" t="s">
        <v>28</v>
      </c>
      <c r="F57" s="20" t="s">
        <v>68</v>
      </c>
      <c r="G57" s="20"/>
      <c r="H57" s="20"/>
      <c r="I57" s="21">
        <v>241.67</v>
      </c>
    </row>
    <row r="58" ht="20.25" customHeight="1">
      <c r="A58" s="20">
        <v>2026.0</v>
      </c>
      <c r="B58" s="20">
        <v>4.0</v>
      </c>
      <c r="C58" s="20" t="s">
        <v>84</v>
      </c>
      <c r="D58" s="20" t="s">
        <v>85</v>
      </c>
      <c r="E58" s="20" t="s">
        <v>28</v>
      </c>
      <c r="F58" s="20" t="s">
        <v>68</v>
      </c>
      <c r="G58" s="20"/>
      <c r="H58" s="20"/>
      <c r="I58" s="21">
        <v>290.0</v>
      </c>
    </row>
    <row r="59" ht="20.25" customHeight="1">
      <c r="A59" s="20">
        <v>2026.0</v>
      </c>
      <c r="B59" s="20">
        <v>5.0</v>
      </c>
      <c r="C59" s="20" t="s">
        <v>84</v>
      </c>
      <c r="D59" s="20" t="s">
        <v>85</v>
      </c>
      <c r="E59" s="20" t="s">
        <v>28</v>
      </c>
      <c r="F59" s="20" t="s">
        <v>68</v>
      </c>
      <c r="G59" s="20"/>
      <c r="H59" s="20"/>
      <c r="I59" s="21">
        <v>290.0</v>
      </c>
    </row>
    <row r="60" ht="20.25" customHeight="1">
      <c r="A60" s="20">
        <v>2026.0</v>
      </c>
      <c r="B60" s="20">
        <v>6.0</v>
      </c>
      <c r="C60" s="20" t="s">
        <v>84</v>
      </c>
      <c r="D60" s="20" t="s">
        <v>85</v>
      </c>
      <c r="E60" s="20" t="s">
        <v>28</v>
      </c>
      <c r="F60" s="20" t="s">
        <v>68</v>
      </c>
      <c r="G60" s="20"/>
      <c r="H60" s="20"/>
      <c r="I60" s="21">
        <v>290.0</v>
      </c>
    </row>
    <row r="61" ht="20.25" customHeight="1">
      <c r="A61" s="20">
        <v>2026.0</v>
      </c>
      <c r="B61" s="20">
        <v>6.0</v>
      </c>
      <c r="C61" s="20" t="s">
        <v>87</v>
      </c>
      <c r="D61" s="20" t="s">
        <v>88</v>
      </c>
      <c r="E61" s="20" t="s">
        <v>30</v>
      </c>
      <c r="F61" s="20" t="s">
        <v>68</v>
      </c>
      <c r="G61" s="20"/>
      <c r="H61" s="20"/>
      <c r="I61" s="21">
        <v>77.33</v>
      </c>
    </row>
    <row r="62" ht="20.25" customHeight="1">
      <c r="A62" s="20">
        <v>2026.0</v>
      </c>
      <c r="B62" s="20">
        <v>4.0</v>
      </c>
      <c r="C62" s="20" t="s">
        <v>90</v>
      </c>
      <c r="D62" s="20" t="s">
        <v>91</v>
      </c>
      <c r="E62" s="20" t="s">
        <v>30</v>
      </c>
      <c r="F62" s="20" t="s">
        <v>68</v>
      </c>
      <c r="G62" s="20"/>
      <c r="H62" s="20"/>
      <c r="I62" s="21">
        <v>290.0</v>
      </c>
    </row>
    <row r="63" ht="20.25" customHeight="1">
      <c r="A63" s="20">
        <v>2026.0</v>
      </c>
      <c r="B63" s="20">
        <v>5.0</v>
      </c>
      <c r="C63" s="20" t="s">
        <v>90</v>
      </c>
      <c r="D63" s="20" t="s">
        <v>91</v>
      </c>
      <c r="E63" s="20" t="s">
        <v>30</v>
      </c>
      <c r="F63" s="20" t="s">
        <v>68</v>
      </c>
      <c r="G63" s="20"/>
      <c r="H63" s="20"/>
      <c r="I63" s="21">
        <v>290.0</v>
      </c>
    </row>
    <row r="64" ht="20.25" customHeight="1">
      <c r="A64" s="20">
        <v>2026.0</v>
      </c>
      <c r="B64" s="20">
        <v>6.0</v>
      </c>
      <c r="C64" s="20" t="s">
        <v>90</v>
      </c>
      <c r="D64" s="20" t="s">
        <v>91</v>
      </c>
      <c r="E64" s="20" t="s">
        <v>30</v>
      </c>
      <c r="F64" s="20" t="s">
        <v>68</v>
      </c>
      <c r="G64" s="20"/>
      <c r="H64" s="20"/>
      <c r="I64" s="21">
        <v>290.0</v>
      </c>
    </row>
    <row r="65" ht="20.25" customHeight="1">
      <c r="A65" s="20">
        <v>2026.0</v>
      </c>
      <c r="B65" s="20">
        <v>4.0</v>
      </c>
      <c r="C65" s="20" t="s">
        <v>92</v>
      </c>
      <c r="D65" s="20" t="s">
        <v>93</v>
      </c>
      <c r="E65" s="20" t="s">
        <v>31</v>
      </c>
      <c r="F65" s="20" t="s">
        <v>68</v>
      </c>
      <c r="G65" s="20"/>
      <c r="H65" s="20"/>
      <c r="I65" s="21">
        <v>290.0</v>
      </c>
    </row>
    <row r="66" ht="20.25" customHeight="1">
      <c r="A66" s="20">
        <v>2026.0</v>
      </c>
      <c r="B66" s="20">
        <v>5.0</v>
      </c>
      <c r="C66" s="20" t="s">
        <v>92</v>
      </c>
      <c r="D66" s="20" t="s">
        <v>93</v>
      </c>
      <c r="E66" s="20" t="s">
        <v>31</v>
      </c>
      <c r="F66" s="20" t="s">
        <v>68</v>
      </c>
      <c r="G66" s="20"/>
      <c r="H66" s="20"/>
      <c r="I66" s="21">
        <v>290.0</v>
      </c>
    </row>
    <row r="67" ht="20.25" customHeight="1">
      <c r="A67" s="20">
        <v>2026.0</v>
      </c>
      <c r="B67" s="20">
        <v>6.0</v>
      </c>
      <c r="C67" s="20" t="s">
        <v>92</v>
      </c>
      <c r="D67" s="20" t="s">
        <v>93</v>
      </c>
      <c r="E67" s="20" t="s">
        <v>31</v>
      </c>
      <c r="F67" s="20" t="s">
        <v>68</v>
      </c>
      <c r="G67" s="20"/>
      <c r="H67" s="20"/>
      <c r="I67" s="21">
        <v>290.0</v>
      </c>
    </row>
    <row r="68" ht="20.25" customHeight="1">
      <c r="A68" s="20">
        <v>2026.0</v>
      </c>
      <c r="B68" s="20">
        <v>4.0</v>
      </c>
      <c r="C68" s="20" t="s">
        <v>95</v>
      </c>
      <c r="D68" s="20" t="s">
        <v>96</v>
      </c>
      <c r="E68" s="20" t="s">
        <v>31</v>
      </c>
      <c r="F68" s="20" t="s">
        <v>68</v>
      </c>
      <c r="G68" s="20"/>
      <c r="H68" s="20"/>
      <c r="I68" s="21">
        <v>290.0</v>
      </c>
    </row>
    <row r="69" ht="20.25" customHeight="1">
      <c r="A69" s="20">
        <v>2026.0</v>
      </c>
      <c r="B69" s="20">
        <v>5.0</v>
      </c>
      <c r="C69" s="20" t="s">
        <v>95</v>
      </c>
      <c r="D69" s="20" t="s">
        <v>96</v>
      </c>
      <c r="E69" s="20" t="s">
        <v>31</v>
      </c>
      <c r="F69" s="20" t="s">
        <v>68</v>
      </c>
      <c r="G69" s="20"/>
      <c r="H69" s="20"/>
      <c r="I69" s="21">
        <v>290.0</v>
      </c>
    </row>
    <row r="70" ht="20.25" customHeight="1">
      <c r="A70" s="20">
        <v>2026.0</v>
      </c>
      <c r="B70" s="20">
        <v>6.0</v>
      </c>
      <c r="C70" s="20" t="s">
        <v>95</v>
      </c>
      <c r="D70" s="20" t="s">
        <v>96</v>
      </c>
      <c r="E70" s="20" t="s">
        <v>31</v>
      </c>
      <c r="F70" s="20" t="s">
        <v>68</v>
      </c>
      <c r="G70" s="20"/>
      <c r="H70" s="20"/>
      <c r="I70" s="21">
        <v>290.0</v>
      </c>
    </row>
    <row r="71" ht="20.25" customHeight="1">
      <c r="A71" s="20">
        <v>2026.0</v>
      </c>
      <c r="B71" s="20">
        <v>4.0</v>
      </c>
      <c r="C71" s="20" t="s">
        <v>99</v>
      </c>
      <c r="D71" s="20" t="s">
        <v>83</v>
      </c>
      <c r="E71" s="20" t="s">
        <v>33</v>
      </c>
      <c r="F71" s="20" t="s">
        <v>68</v>
      </c>
      <c r="G71" s="20"/>
      <c r="H71" s="20"/>
      <c r="I71" s="21">
        <v>290.0</v>
      </c>
    </row>
    <row r="72" ht="20.25" customHeight="1">
      <c r="A72" s="20">
        <v>2026.0</v>
      </c>
      <c r="B72" s="20">
        <v>5.0</v>
      </c>
      <c r="C72" s="20" t="s">
        <v>99</v>
      </c>
      <c r="D72" s="20" t="s">
        <v>83</v>
      </c>
      <c r="E72" s="20" t="s">
        <v>33</v>
      </c>
      <c r="F72" s="20" t="s">
        <v>68</v>
      </c>
      <c r="G72" s="20"/>
      <c r="H72" s="20"/>
      <c r="I72" s="21">
        <v>261.94</v>
      </c>
    </row>
    <row r="73" ht="20.25" customHeight="1">
      <c r="A73" s="20">
        <v>2026.0</v>
      </c>
      <c r="B73" s="20">
        <v>6.0</v>
      </c>
      <c r="C73" s="20" t="s">
        <v>100</v>
      </c>
      <c r="D73" s="20" t="s">
        <v>101</v>
      </c>
      <c r="E73" s="20" t="s">
        <v>47</v>
      </c>
      <c r="F73" s="20" t="s">
        <v>68</v>
      </c>
      <c r="G73" s="20"/>
      <c r="H73" s="20"/>
      <c r="I73" s="21">
        <v>106.33</v>
      </c>
    </row>
    <row r="74" ht="20.25" customHeight="1">
      <c r="A74" s="20">
        <v>2026.0</v>
      </c>
      <c r="B74" s="20">
        <v>4.0</v>
      </c>
      <c r="C74" s="20" t="s">
        <v>102</v>
      </c>
      <c r="D74" s="20" t="s">
        <v>103</v>
      </c>
      <c r="E74" s="20" t="s">
        <v>37</v>
      </c>
      <c r="F74" s="20" t="s">
        <v>68</v>
      </c>
      <c r="G74" s="20"/>
      <c r="H74" s="20"/>
      <c r="I74" s="21">
        <v>290.0</v>
      </c>
    </row>
    <row r="75" ht="20.25" customHeight="1">
      <c r="A75" s="20">
        <v>2026.0</v>
      </c>
      <c r="B75" s="20">
        <v>4.0</v>
      </c>
      <c r="C75" s="20" t="s">
        <v>104</v>
      </c>
      <c r="D75" s="20" t="s">
        <v>105</v>
      </c>
      <c r="E75" s="20" t="s">
        <v>41</v>
      </c>
      <c r="F75" s="20" t="s">
        <v>68</v>
      </c>
      <c r="G75" s="20"/>
      <c r="H75" s="20"/>
      <c r="I75" s="21">
        <v>290.0</v>
      </c>
    </row>
    <row r="76" ht="20.25" customHeight="1">
      <c r="A76" s="20">
        <v>2026.0</v>
      </c>
      <c r="B76" s="20">
        <v>5.0</v>
      </c>
      <c r="C76" s="20" t="s">
        <v>104</v>
      </c>
      <c r="D76" s="20" t="s">
        <v>105</v>
      </c>
      <c r="E76" s="20" t="s">
        <v>41</v>
      </c>
      <c r="F76" s="20" t="s">
        <v>68</v>
      </c>
      <c r="G76" s="20"/>
      <c r="H76" s="20"/>
      <c r="I76" s="21">
        <v>290.0</v>
      </c>
    </row>
    <row r="77" ht="20.25" customHeight="1">
      <c r="A77" s="20">
        <v>2026.0</v>
      </c>
      <c r="B77" s="20">
        <v>6.0</v>
      </c>
      <c r="C77" s="20" t="s">
        <v>104</v>
      </c>
      <c r="D77" s="20" t="s">
        <v>105</v>
      </c>
      <c r="E77" s="20" t="s">
        <v>41</v>
      </c>
      <c r="F77" s="20" t="s">
        <v>68</v>
      </c>
      <c r="G77" s="20"/>
      <c r="H77" s="20"/>
      <c r="I77" s="21">
        <v>290.0</v>
      </c>
    </row>
    <row r="78" ht="20.25" customHeight="1">
      <c r="A78" s="20">
        <v>2026.0</v>
      </c>
      <c r="B78" s="20">
        <v>6.0</v>
      </c>
      <c r="C78" s="20" t="s">
        <v>106</v>
      </c>
      <c r="D78" s="20" t="s">
        <v>107</v>
      </c>
      <c r="E78" s="20" t="s">
        <v>42</v>
      </c>
      <c r="F78" s="20" t="s">
        <v>68</v>
      </c>
      <c r="G78" s="20"/>
      <c r="H78" s="20"/>
      <c r="I78" s="21">
        <v>193.33</v>
      </c>
    </row>
    <row r="79" ht="20.25" customHeight="1">
      <c r="A79" s="20">
        <v>2026.0</v>
      </c>
      <c r="B79" s="20">
        <v>4.0</v>
      </c>
      <c r="C79" s="20" t="s">
        <v>108</v>
      </c>
      <c r="D79" s="20" t="s">
        <v>109</v>
      </c>
      <c r="E79" s="20" t="s">
        <v>45</v>
      </c>
      <c r="F79" s="20" t="s">
        <v>68</v>
      </c>
      <c r="G79" s="20"/>
      <c r="H79" s="20"/>
      <c r="I79" s="21">
        <v>77.33</v>
      </c>
    </row>
    <row r="80" ht="20.25" customHeight="1">
      <c r="A80" s="20">
        <v>2026.0</v>
      </c>
      <c r="B80" s="20">
        <v>5.0</v>
      </c>
      <c r="C80" s="20" t="s">
        <v>108</v>
      </c>
      <c r="D80" s="20" t="s">
        <v>109</v>
      </c>
      <c r="E80" s="20" t="s">
        <v>45</v>
      </c>
      <c r="F80" s="20" t="s">
        <v>68</v>
      </c>
      <c r="G80" s="20"/>
      <c r="H80" s="20"/>
      <c r="I80" s="21">
        <v>145.0</v>
      </c>
    </row>
    <row r="81" ht="20.25" customHeight="1">
      <c r="A81" s="20">
        <v>2026.0</v>
      </c>
      <c r="B81" s="20">
        <v>6.0</v>
      </c>
      <c r="C81" s="20" t="s">
        <v>108</v>
      </c>
      <c r="D81" s="20" t="s">
        <v>109</v>
      </c>
      <c r="E81" s="20" t="s">
        <v>45</v>
      </c>
      <c r="F81" s="20" t="s">
        <v>68</v>
      </c>
      <c r="G81" s="20"/>
      <c r="H81" s="20"/>
      <c r="I81" s="21">
        <v>145.0</v>
      </c>
    </row>
    <row r="82" ht="20.25" customHeight="1">
      <c r="A82" s="20">
        <v>2026.0</v>
      </c>
      <c r="B82" s="20">
        <v>4.0</v>
      </c>
      <c r="C82" s="20" t="s">
        <v>64</v>
      </c>
      <c r="D82" s="20" t="s">
        <v>65</v>
      </c>
      <c r="E82" s="20" t="s">
        <v>15</v>
      </c>
      <c r="F82" s="20" t="s">
        <v>61</v>
      </c>
      <c r="G82" s="20">
        <v>6.5</v>
      </c>
      <c r="H82" s="20">
        <v>42.6</v>
      </c>
      <c r="I82" s="21">
        <v>276.9</v>
      </c>
    </row>
    <row r="83" ht="20.25" customHeight="1">
      <c r="A83" s="20">
        <v>2026.0</v>
      </c>
      <c r="B83" s="20">
        <v>4.0</v>
      </c>
      <c r="C83" s="20" t="s">
        <v>64</v>
      </c>
      <c r="D83" s="20" t="s">
        <v>65</v>
      </c>
      <c r="E83" s="20" t="s">
        <v>15</v>
      </c>
      <c r="F83" s="20" t="s">
        <v>61</v>
      </c>
      <c r="G83" s="20">
        <v>11.5</v>
      </c>
      <c r="H83" s="20">
        <v>42.6</v>
      </c>
      <c r="I83" s="21">
        <v>489.9</v>
      </c>
    </row>
    <row r="84" ht="20.25" customHeight="1">
      <c r="A84" s="20">
        <v>2026.0</v>
      </c>
      <c r="B84" s="20">
        <v>5.0</v>
      </c>
      <c r="C84" s="20" t="s">
        <v>64</v>
      </c>
      <c r="D84" s="20" t="s">
        <v>65</v>
      </c>
      <c r="E84" s="20" t="s">
        <v>15</v>
      </c>
      <c r="F84" s="20" t="s">
        <v>61</v>
      </c>
      <c r="G84" s="20">
        <v>17.0</v>
      </c>
      <c r="H84" s="20">
        <v>42.6</v>
      </c>
      <c r="I84" s="21">
        <v>724.2</v>
      </c>
    </row>
    <row r="85" ht="20.25" customHeight="1">
      <c r="A85" s="20">
        <v>2026.0</v>
      </c>
      <c r="B85" s="20">
        <v>4.0</v>
      </c>
      <c r="C85" s="20" t="s">
        <v>99</v>
      </c>
      <c r="D85" s="20" t="s">
        <v>83</v>
      </c>
      <c r="E85" s="20" t="s">
        <v>33</v>
      </c>
      <c r="F85" s="20" t="s">
        <v>61</v>
      </c>
      <c r="G85" s="20">
        <v>20.0</v>
      </c>
      <c r="H85" s="20">
        <v>43.0</v>
      </c>
      <c r="I85" s="21">
        <v>860.0</v>
      </c>
    </row>
    <row r="86" ht="20.25" customHeight="1">
      <c r="A86" s="20">
        <v>2026.0</v>
      </c>
      <c r="B86" s="20">
        <v>5.0</v>
      </c>
      <c r="C86" s="20" t="s">
        <v>99</v>
      </c>
      <c r="D86" s="20" t="s">
        <v>83</v>
      </c>
      <c r="E86" s="20" t="s">
        <v>33</v>
      </c>
      <c r="F86" s="20" t="s">
        <v>61</v>
      </c>
      <c r="G86" s="20">
        <v>3.5</v>
      </c>
      <c r="H86" s="20">
        <v>43.0</v>
      </c>
      <c r="I86" s="21">
        <v>150.5</v>
      </c>
    </row>
    <row r="87" ht="20.25" customHeight="1">
      <c r="A87" s="20">
        <v>2026.0</v>
      </c>
      <c r="B87" s="20">
        <v>5.0</v>
      </c>
      <c r="C87" s="20" t="s">
        <v>99</v>
      </c>
      <c r="D87" s="20" t="s">
        <v>83</v>
      </c>
      <c r="E87" s="20" t="s">
        <v>33</v>
      </c>
      <c r="F87" s="20" t="s">
        <v>61</v>
      </c>
      <c r="G87" s="20">
        <v>12.5</v>
      </c>
      <c r="H87" s="20">
        <v>43.0</v>
      </c>
      <c r="I87" s="21">
        <v>537.5</v>
      </c>
    </row>
    <row r="88" ht="20.25" customHeight="1">
      <c r="A88" s="20">
        <v>2026.0</v>
      </c>
      <c r="B88" s="20">
        <v>6.0</v>
      </c>
      <c r="C88" s="20" t="s">
        <v>82</v>
      </c>
      <c r="D88" s="20" t="s">
        <v>83</v>
      </c>
      <c r="E88" s="20" t="s">
        <v>28</v>
      </c>
      <c r="F88" s="20" t="s">
        <v>113</v>
      </c>
      <c r="G88" s="20">
        <v>19.0</v>
      </c>
      <c r="H88" s="20">
        <v>36.5</v>
      </c>
      <c r="I88" s="21">
        <v>693.5</v>
      </c>
    </row>
    <row r="89" ht="20.25" customHeight="1">
      <c r="A89" s="20">
        <v>2026.0</v>
      </c>
      <c r="B89" s="20">
        <v>4.0</v>
      </c>
      <c r="C89" s="20" t="s">
        <v>114</v>
      </c>
      <c r="D89" s="20" t="s">
        <v>101</v>
      </c>
      <c r="E89" s="20" t="s">
        <v>17</v>
      </c>
      <c r="F89" s="20" t="s">
        <v>61</v>
      </c>
      <c r="G89" s="20">
        <v>21.0</v>
      </c>
      <c r="H89" s="20">
        <v>29.2</v>
      </c>
      <c r="I89" s="21">
        <v>613.2</v>
      </c>
    </row>
    <row r="90" ht="20.25" customHeight="1">
      <c r="A90" s="20">
        <v>2026.0</v>
      </c>
      <c r="B90" s="20">
        <v>5.0</v>
      </c>
      <c r="C90" s="20" t="s">
        <v>114</v>
      </c>
      <c r="D90" s="20" t="s">
        <v>101</v>
      </c>
      <c r="E90" s="20" t="s">
        <v>17</v>
      </c>
      <c r="F90" s="20" t="s">
        <v>61</v>
      </c>
      <c r="G90" s="20">
        <v>6.0</v>
      </c>
      <c r="H90" s="20">
        <v>29.2</v>
      </c>
      <c r="I90" s="21">
        <v>175.2</v>
      </c>
    </row>
    <row r="91" ht="20.25" customHeight="1">
      <c r="A91" s="20">
        <v>2026.0</v>
      </c>
      <c r="B91" s="20">
        <v>6.0</v>
      </c>
      <c r="C91" s="20" t="s">
        <v>114</v>
      </c>
      <c r="D91" s="20" t="s">
        <v>101</v>
      </c>
      <c r="E91" s="20" t="s">
        <v>17</v>
      </c>
      <c r="F91" s="20" t="s">
        <v>61</v>
      </c>
      <c r="G91" s="20">
        <v>0.5</v>
      </c>
      <c r="H91" s="20">
        <v>29.2</v>
      </c>
      <c r="I91" s="21">
        <v>14.6</v>
      </c>
    </row>
    <row r="92" ht="20.25" customHeight="1">
      <c r="A92" s="20">
        <v>2026.0</v>
      </c>
      <c r="B92" s="20">
        <v>6.0</v>
      </c>
      <c r="C92" s="20" t="s">
        <v>100</v>
      </c>
      <c r="D92" s="20" t="s">
        <v>101</v>
      </c>
      <c r="E92" s="20" t="s">
        <v>26</v>
      </c>
      <c r="F92" s="20" t="s">
        <v>61</v>
      </c>
      <c r="G92" s="20">
        <v>10.5</v>
      </c>
      <c r="H92" s="20">
        <v>45.5</v>
      </c>
      <c r="I92" s="21">
        <v>477.75</v>
      </c>
    </row>
    <row r="93" ht="20.25" customHeight="1">
      <c r="A93" s="20">
        <v>2026.0</v>
      </c>
      <c r="B93" s="20">
        <v>4.0</v>
      </c>
      <c r="C93" s="20" t="s">
        <v>117</v>
      </c>
      <c r="D93" s="20" t="s">
        <v>118</v>
      </c>
      <c r="E93" s="20" t="s">
        <v>13</v>
      </c>
      <c r="F93" s="20" t="s">
        <v>61</v>
      </c>
      <c r="G93" s="20">
        <v>19.0</v>
      </c>
      <c r="H93" s="20">
        <v>9.8</v>
      </c>
      <c r="I93" s="21">
        <v>186.2</v>
      </c>
    </row>
    <row r="94" ht="20.25" customHeight="1">
      <c r="A94" s="20">
        <v>2026.0</v>
      </c>
      <c r="B94" s="20">
        <v>4.0</v>
      </c>
      <c r="C94" s="20" t="s">
        <v>117</v>
      </c>
      <c r="D94" s="20" t="s">
        <v>118</v>
      </c>
      <c r="E94" s="20" t="s">
        <v>17</v>
      </c>
      <c r="F94" s="20" t="s">
        <v>61</v>
      </c>
      <c r="G94" s="20">
        <v>19.0</v>
      </c>
      <c r="H94" s="20">
        <v>9.8</v>
      </c>
      <c r="I94" s="21">
        <v>186.2</v>
      </c>
    </row>
    <row r="95" ht="20.25" customHeight="1">
      <c r="A95" s="20">
        <v>2026.0</v>
      </c>
      <c r="B95" s="20">
        <v>5.0</v>
      </c>
      <c r="C95" s="20" t="s">
        <v>117</v>
      </c>
      <c r="D95" s="20" t="s">
        <v>118</v>
      </c>
      <c r="E95" s="20" t="s">
        <v>13</v>
      </c>
      <c r="F95" s="20" t="s">
        <v>61</v>
      </c>
      <c r="G95" s="20">
        <v>18.0</v>
      </c>
      <c r="H95" s="20">
        <v>9.8</v>
      </c>
      <c r="I95" s="21">
        <v>176.4</v>
      </c>
    </row>
    <row r="96" ht="20.25" customHeight="1">
      <c r="A96" s="20">
        <v>2026.0</v>
      </c>
      <c r="B96" s="20">
        <v>5.0</v>
      </c>
      <c r="C96" s="20" t="s">
        <v>117</v>
      </c>
      <c r="D96" s="20" t="s">
        <v>118</v>
      </c>
      <c r="E96" s="20" t="s">
        <v>17</v>
      </c>
      <c r="F96" s="20" t="s">
        <v>61</v>
      </c>
      <c r="G96" s="20">
        <v>18.0</v>
      </c>
      <c r="H96" s="20">
        <v>9.8</v>
      </c>
      <c r="I96" s="21">
        <v>176.4</v>
      </c>
    </row>
    <row r="97" ht="20.25" customHeight="1">
      <c r="A97" s="20">
        <v>2026.0</v>
      </c>
      <c r="B97" s="20">
        <v>6.0</v>
      </c>
      <c r="C97" s="20" t="s">
        <v>117</v>
      </c>
      <c r="D97" s="20" t="s">
        <v>118</v>
      </c>
      <c r="E97" s="20" t="s">
        <v>13</v>
      </c>
      <c r="F97" s="20" t="s">
        <v>61</v>
      </c>
      <c r="G97" s="20">
        <v>19.0</v>
      </c>
      <c r="H97" s="20">
        <v>9.8</v>
      </c>
      <c r="I97" s="21">
        <v>186.2</v>
      </c>
    </row>
    <row r="98" ht="20.25" customHeight="1">
      <c r="A98" s="20">
        <v>2026.0</v>
      </c>
      <c r="B98" s="20">
        <v>6.0</v>
      </c>
      <c r="C98" s="20" t="s">
        <v>117</v>
      </c>
      <c r="D98" s="20" t="s">
        <v>118</v>
      </c>
      <c r="E98" s="20" t="s">
        <v>17</v>
      </c>
      <c r="F98" s="20" t="s">
        <v>61</v>
      </c>
      <c r="G98" s="20">
        <v>19.0</v>
      </c>
      <c r="H98" s="20">
        <v>9.8</v>
      </c>
      <c r="I98" s="21">
        <v>186.2</v>
      </c>
    </row>
    <row r="99" ht="20.25" customHeight="1">
      <c r="A99" s="20">
        <v>2026.0</v>
      </c>
      <c r="B99" s="20">
        <v>4.0</v>
      </c>
      <c r="C99" s="20" t="s">
        <v>122</v>
      </c>
      <c r="D99" s="20" t="s">
        <v>123</v>
      </c>
      <c r="E99" s="20" t="s">
        <v>13</v>
      </c>
      <c r="F99" s="20" t="s">
        <v>61</v>
      </c>
      <c r="G99" s="20">
        <v>13.0</v>
      </c>
      <c r="H99" s="20">
        <v>9.9</v>
      </c>
      <c r="I99" s="21">
        <v>128.7</v>
      </c>
    </row>
    <row r="100" ht="20.25" customHeight="1">
      <c r="A100" s="20">
        <v>2026.0</v>
      </c>
      <c r="B100" s="20">
        <v>4.0</v>
      </c>
      <c r="C100" s="20" t="s">
        <v>122</v>
      </c>
      <c r="D100" s="20" t="s">
        <v>123</v>
      </c>
      <c r="E100" s="20" t="s">
        <v>17</v>
      </c>
      <c r="F100" s="20" t="s">
        <v>61</v>
      </c>
      <c r="G100" s="20">
        <v>13.0</v>
      </c>
      <c r="H100" s="20">
        <v>2.5</v>
      </c>
      <c r="I100" s="21">
        <v>32.5</v>
      </c>
    </row>
    <row r="101" ht="20.25" customHeight="1">
      <c r="A101" s="20">
        <v>2026.0</v>
      </c>
      <c r="B101" s="20">
        <v>5.0</v>
      </c>
      <c r="C101" s="20" t="s">
        <v>122</v>
      </c>
      <c r="D101" s="20" t="s">
        <v>123</v>
      </c>
      <c r="E101" s="20" t="s">
        <v>13</v>
      </c>
      <c r="F101" s="20" t="s">
        <v>61</v>
      </c>
      <c r="G101" s="20">
        <v>18.0</v>
      </c>
      <c r="H101" s="20">
        <v>9.9</v>
      </c>
      <c r="I101" s="21">
        <v>178.2</v>
      </c>
    </row>
    <row r="102" ht="20.25" customHeight="1">
      <c r="A102" s="20">
        <v>2026.0</v>
      </c>
      <c r="B102" s="20">
        <v>5.0</v>
      </c>
      <c r="C102" s="20" t="s">
        <v>122</v>
      </c>
      <c r="D102" s="20" t="s">
        <v>123</v>
      </c>
      <c r="E102" s="20" t="s">
        <v>17</v>
      </c>
      <c r="F102" s="20" t="s">
        <v>61</v>
      </c>
      <c r="G102" s="20">
        <v>18.0</v>
      </c>
      <c r="H102" s="20">
        <v>2.5</v>
      </c>
      <c r="I102" s="21">
        <v>45.0</v>
      </c>
    </row>
    <row r="103" ht="20.25" customHeight="1">
      <c r="A103" s="20">
        <v>2026.0</v>
      </c>
      <c r="B103" s="20">
        <v>6.0</v>
      </c>
      <c r="C103" s="20" t="s">
        <v>122</v>
      </c>
      <c r="D103" s="20" t="s">
        <v>123</v>
      </c>
      <c r="E103" s="20" t="s">
        <v>13</v>
      </c>
      <c r="F103" s="20" t="s">
        <v>61</v>
      </c>
      <c r="G103" s="20">
        <v>7.0</v>
      </c>
      <c r="H103" s="20">
        <v>9.9</v>
      </c>
      <c r="I103" s="21">
        <v>69.3</v>
      </c>
    </row>
    <row r="104" ht="20.25" customHeight="1">
      <c r="A104" s="20">
        <v>2026.0</v>
      </c>
      <c r="B104" s="20">
        <v>6.0</v>
      </c>
      <c r="C104" s="20" t="s">
        <v>122</v>
      </c>
      <c r="D104" s="20" t="s">
        <v>123</v>
      </c>
      <c r="E104" s="20" t="s">
        <v>13</v>
      </c>
      <c r="F104" s="20" t="s">
        <v>61</v>
      </c>
      <c r="G104" s="20">
        <v>11.0</v>
      </c>
      <c r="H104" s="20">
        <v>9.9</v>
      </c>
      <c r="I104" s="21">
        <v>108.9</v>
      </c>
    </row>
    <row r="105" ht="20.25" customHeight="1">
      <c r="A105" s="20">
        <v>2026.0</v>
      </c>
      <c r="B105" s="20">
        <v>6.0</v>
      </c>
      <c r="C105" s="20" t="s">
        <v>122</v>
      </c>
      <c r="D105" s="20" t="s">
        <v>123</v>
      </c>
      <c r="E105" s="20" t="s">
        <v>17</v>
      </c>
      <c r="F105" s="20" t="s">
        <v>61</v>
      </c>
      <c r="G105" s="20">
        <v>7.0</v>
      </c>
      <c r="H105" s="20">
        <v>2.5</v>
      </c>
      <c r="I105" s="21">
        <v>17.5</v>
      </c>
    </row>
    <row r="106" ht="20.25" customHeight="1">
      <c r="A106" s="20">
        <v>2026.0</v>
      </c>
      <c r="B106" s="20">
        <v>6.0</v>
      </c>
      <c r="C106" s="20" t="s">
        <v>122</v>
      </c>
      <c r="D106" s="20" t="s">
        <v>123</v>
      </c>
      <c r="E106" s="20" t="s">
        <v>17</v>
      </c>
      <c r="F106" s="20" t="s">
        <v>61</v>
      </c>
      <c r="G106" s="20">
        <v>11.0</v>
      </c>
      <c r="H106" s="20">
        <v>2.5</v>
      </c>
      <c r="I106" s="21">
        <v>27.5</v>
      </c>
    </row>
    <row r="107" ht="20.25" customHeight="1">
      <c r="A107" s="20">
        <v>2026.0</v>
      </c>
      <c r="B107" s="20">
        <v>6.0</v>
      </c>
      <c r="C107" s="20" t="s">
        <v>64</v>
      </c>
      <c r="D107" s="20" t="s">
        <v>65</v>
      </c>
      <c r="E107" s="20" t="s">
        <v>15</v>
      </c>
      <c r="F107" s="20" t="s">
        <v>61</v>
      </c>
      <c r="G107" s="20">
        <v>2.5</v>
      </c>
      <c r="H107" s="20">
        <v>42.6</v>
      </c>
      <c r="I107" s="21">
        <v>106.5</v>
      </c>
    </row>
    <row r="108" ht="20.25" customHeight="1">
      <c r="A108" s="20">
        <v>2026.0</v>
      </c>
      <c r="B108" s="20">
        <v>4.0</v>
      </c>
      <c r="C108" s="20" t="s">
        <v>62</v>
      </c>
      <c r="D108" s="20" t="s">
        <v>126</v>
      </c>
      <c r="E108" s="20" t="s">
        <v>35</v>
      </c>
      <c r="F108" s="20" t="s">
        <v>61</v>
      </c>
      <c r="G108" s="20">
        <v>17.5</v>
      </c>
      <c r="H108" s="20">
        <v>2.4</v>
      </c>
      <c r="I108" s="21">
        <v>42.0</v>
      </c>
    </row>
    <row r="109" ht="20.25" customHeight="1">
      <c r="A109" s="20">
        <v>2026.0</v>
      </c>
      <c r="B109" s="20">
        <v>6.0</v>
      </c>
      <c r="C109" s="20" t="s">
        <v>64</v>
      </c>
      <c r="D109" s="20" t="s">
        <v>65</v>
      </c>
      <c r="E109" s="20" t="s">
        <v>15</v>
      </c>
      <c r="F109" s="20" t="s">
        <v>61</v>
      </c>
      <c r="G109" s="20">
        <v>19.5</v>
      </c>
      <c r="H109" s="20">
        <v>42.6</v>
      </c>
      <c r="I109" s="21">
        <v>830.7</v>
      </c>
    </row>
    <row r="110" ht="20.25" customHeight="1">
      <c r="A110" s="20">
        <v>2026.0</v>
      </c>
      <c r="B110" s="20">
        <v>5.0</v>
      </c>
      <c r="C110" s="20" t="s">
        <v>62</v>
      </c>
      <c r="D110" s="20" t="s">
        <v>126</v>
      </c>
      <c r="E110" s="20" t="s">
        <v>35</v>
      </c>
      <c r="F110" s="20" t="s">
        <v>61</v>
      </c>
      <c r="G110" s="20">
        <v>12.0</v>
      </c>
      <c r="H110" s="20">
        <v>2.4</v>
      </c>
      <c r="I110" s="21">
        <v>28.8</v>
      </c>
    </row>
    <row r="111" ht="20.25" customHeight="1">
      <c r="A111" s="20">
        <v>2026.0</v>
      </c>
      <c r="B111" s="20">
        <v>5.0</v>
      </c>
      <c r="C111" s="20" t="s">
        <v>127</v>
      </c>
      <c r="D111" s="20" t="s">
        <v>15</v>
      </c>
      <c r="E111" s="20" t="s">
        <v>15</v>
      </c>
      <c r="F111" s="20" t="s">
        <v>61</v>
      </c>
      <c r="G111" s="20">
        <v>3.0</v>
      </c>
      <c r="H111" s="20">
        <v>53.3</v>
      </c>
      <c r="I111" s="21">
        <v>159.9</v>
      </c>
    </row>
    <row r="112" ht="20.25" customHeight="1">
      <c r="A112" s="20">
        <v>2026.0</v>
      </c>
      <c r="B112" s="20">
        <v>6.0</v>
      </c>
      <c r="C112" s="20" t="s">
        <v>62</v>
      </c>
      <c r="D112" s="20" t="s">
        <v>126</v>
      </c>
      <c r="E112" s="20" t="s">
        <v>35</v>
      </c>
      <c r="F112" s="20" t="s">
        <v>61</v>
      </c>
      <c r="G112" s="20">
        <v>16.5</v>
      </c>
      <c r="H112" s="20">
        <v>2.4</v>
      </c>
      <c r="I112" s="21">
        <v>39.6</v>
      </c>
    </row>
    <row r="113" ht="20.25" customHeight="1">
      <c r="A113" s="20">
        <v>2026.0</v>
      </c>
      <c r="B113" s="20">
        <v>6.0</v>
      </c>
      <c r="C113" s="20" t="s">
        <v>127</v>
      </c>
      <c r="D113" s="20" t="s">
        <v>15</v>
      </c>
      <c r="E113" s="20" t="s">
        <v>15</v>
      </c>
      <c r="F113" s="20" t="s">
        <v>61</v>
      </c>
      <c r="G113" s="20">
        <v>2.86</v>
      </c>
      <c r="H113" s="20">
        <v>53.3</v>
      </c>
      <c r="I113" s="21">
        <v>152.44</v>
      </c>
    </row>
    <row r="114" ht="20.25" customHeight="1">
      <c r="A114" s="20">
        <v>2026.0</v>
      </c>
      <c r="B114" s="20">
        <v>4.0</v>
      </c>
      <c r="C114" s="20" t="s">
        <v>128</v>
      </c>
      <c r="D114" s="20" t="s">
        <v>129</v>
      </c>
      <c r="E114" s="20" t="s">
        <v>44</v>
      </c>
      <c r="F114" s="20" t="s">
        <v>61</v>
      </c>
      <c r="G114" s="20">
        <v>20.0</v>
      </c>
      <c r="H114" s="20">
        <v>29.1</v>
      </c>
      <c r="I114" s="21">
        <v>582.0</v>
      </c>
    </row>
    <row r="115" ht="20.25" customHeight="1">
      <c r="A115" s="20">
        <v>2026.0</v>
      </c>
      <c r="B115" s="20">
        <v>4.0</v>
      </c>
      <c r="C115" s="20" t="s">
        <v>89</v>
      </c>
      <c r="D115" s="20" t="s">
        <v>15</v>
      </c>
      <c r="E115" s="20" t="s">
        <v>15</v>
      </c>
      <c r="F115" s="20" t="s">
        <v>61</v>
      </c>
      <c r="G115" s="20">
        <v>10.0</v>
      </c>
      <c r="H115" s="20">
        <v>53.3</v>
      </c>
      <c r="I115" s="21">
        <v>533.0</v>
      </c>
    </row>
    <row r="116" ht="20.25" customHeight="1">
      <c r="A116" s="20">
        <v>2026.0</v>
      </c>
      <c r="B116" s="20">
        <v>6.0</v>
      </c>
      <c r="C116" s="20" t="s">
        <v>89</v>
      </c>
      <c r="D116" s="20" t="s">
        <v>15</v>
      </c>
      <c r="E116" s="20" t="s">
        <v>15</v>
      </c>
      <c r="F116" s="20" t="s">
        <v>61</v>
      </c>
      <c r="G116" s="20">
        <v>9.5</v>
      </c>
      <c r="H116" s="20">
        <v>53.3</v>
      </c>
      <c r="I116" s="21">
        <v>506.35</v>
      </c>
    </row>
    <row r="117" ht="20.25" customHeight="1">
      <c r="A117" s="20">
        <v>2026.0</v>
      </c>
      <c r="B117" s="20">
        <v>5.0</v>
      </c>
      <c r="C117" s="20" t="s">
        <v>128</v>
      </c>
      <c r="D117" s="20" t="s">
        <v>129</v>
      </c>
      <c r="E117" s="20" t="s">
        <v>44</v>
      </c>
      <c r="F117" s="20" t="s">
        <v>61</v>
      </c>
      <c r="G117" s="20">
        <v>0.5</v>
      </c>
      <c r="H117" s="20">
        <v>29.1</v>
      </c>
      <c r="I117" s="21">
        <v>14.55</v>
      </c>
    </row>
    <row r="118" ht="20.25" customHeight="1">
      <c r="A118" s="20">
        <v>2026.0</v>
      </c>
      <c r="B118" s="20">
        <v>5.0</v>
      </c>
      <c r="C118" s="20" t="s">
        <v>128</v>
      </c>
      <c r="D118" s="20" t="s">
        <v>129</v>
      </c>
      <c r="E118" s="20" t="s">
        <v>44</v>
      </c>
      <c r="F118" s="20" t="s">
        <v>61</v>
      </c>
      <c r="G118" s="20">
        <v>17.0</v>
      </c>
      <c r="H118" s="20">
        <v>29.1</v>
      </c>
      <c r="I118" s="21">
        <v>494.7</v>
      </c>
    </row>
    <row r="119" ht="20.25" customHeight="1">
      <c r="A119" s="20">
        <v>2026.0</v>
      </c>
      <c r="B119" s="20">
        <v>5.0</v>
      </c>
      <c r="C119" s="20" t="s">
        <v>86</v>
      </c>
      <c r="D119" s="20" t="s">
        <v>15</v>
      </c>
      <c r="E119" s="20" t="s">
        <v>15</v>
      </c>
      <c r="F119" s="20" t="s">
        <v>61</v>
      </c>
      <c r="G119" s="20">
        <v>3.0</v>
      </c>
      <c r="H119" s="20">
        <v>53.3</v>
      </c>
      <c r="I119" s="21">
        <v>159.9</v>
      </c>
    </row>
    <row r="120" ht="20.25" customHeight="1">
      <c r="A120" s="20">
        <v>2026.0</v>
      </c>
      <c r="B120" s="20">
        <v>6.0</v>
      </c>
      <c r="C120" s="20" t="s">
        <v>128</v>
      </c>
      <c r="D120" s="20" t="s">
        <v>129</v>
      </c>
      <c r="E120" s="20" t="s">
        <v>44</v>
      </c>
      <c r="F120" s="20" t="s">
        <v>61</v>
      </c>
      <c r="G120" s="20">
        <v>20.0</v>
      </c>
      <c r="H120" s="20">
        <v>29.1</v>
      </c>
      <c r="I120" s="21">
        <v>582.0</v>
      </c>
    </row>
    <row r="121" ht="20.25" customHeight="1">
      <c r="A121" s="20">
        <v>2026.0</v>
      </c>
      <c r="B121" s="20">
        <v>4.0</v>
      </c>
      <c r="C121" s="20" t="s">
        <v>130</v>
      </c>
      <c r="D121" s="20" t="s">
        <v>131</v>
      </c>
      <c r="E121" s="20" t="s">
        <v>28</v>
      </c>
      <c r="F121" s="20" t="s">
        <v>61</v>
      </c>
      <c r="G121" s="20">
        <v>23.5</v>
      </c>
      <c r="H121" s="20">
        <v>7.3</v>
      </c>
      <c r="I121" s="21">
        <v>171.55</v>
      </c>
    </row>
    <row r="122" ht="20.25" customHeight="1">
      <c r="A122" s="20">
        <v>2026.0</v>
      </c>
      <c r="B122" s="20">
        <v>4.0</v>
      </c>
      <c r="C122" s="20" t="s">
        <v>130</v>
      </c>
      <c r="D122" s="20" t="s">
        <v>131</v>
      </c>
      <c r="E122" s="20" t="s">
        <v>35</v>
      </c>
      <c r="F122" s="20" t="s">
        <v>61</v>
      </c>
      <c r="G122" s="20">
        <v>23.5</v>
      </c>
      <c r="H122" s="20">
        <v>29.0</v>
      </c>
      <c r="I122" s="21">
        <v>681.5</v>
      </c>
    </row>
    <row r="123" ht="20.25" customHeight="1">
      <c r="A123" s="20">
        <v>2026.0</v>
      </c>
      <c r="B123" s="20">
        <v>5.0</v>
      </c>
      <c r="C123" s="20" t="s">
        <v>130</v>
      </c>
      <c r="D123" s="20" t="s">
        <v>131</v>
      </c>
      <c r="E123" s="20" t="s">
        <v>28</v>
      </c>
      <c r="F123" s="20" t="s">
        <v>61</v>
      </c>
      <c r="G123" s="20">
        <v>19.75</v>
      </c>
      <c r="H123" s="20">
        <v>7.3</v>
      </c>
      <c r="I123" s="21">
        <v>144.18</v>
      </c>
    </row>
    <row r="124" ht="20.25" customHeight="1">
      <c r="A124" s="20">
        <v>2026.0</v>
      </c>
      <c r="B124" s="20">
        <v>5.0</v>
      </c>
      <c r="C124" s="20" t="s">
        <v>130</v>
      </c>
      <c r="D124" s="20" t="s">
        <v>131</v>
      </c>
      <c r="E124" s="20" t="s">
        <v>35</v>
      </c>
      <c r="F124" s="20" t="s">
        <v>61</v>
      </c>
      <c r="G124" s="20">
        <v>19.75</v>
      </c>
      <c r="H124" s="20">
        <v>29.0</v>
      </c>
      <c r="I124" s="21">
        <v>572.75</v>
      </c>
    </row>
    <row r="125" ht="20.25" customHeight="1">
      <c r="A125" s="20">
        <v>2026.0</v>
      </c>
      <c r="B125" s="20">
        <v>6.0</v>
      </c>
      <c r="C125" s="20" t="s">
        <v>130</v>
      </c>
      <c r="D125" s="20" t="s">
        <v>131</v>
      </c>
      <c r="E125" s="20" t="s">
        <v>28</v>
      </c>
      <c r="F125" s="20" t="s">
        <v>61</v>
      </c>
      <c r="G125" s="20">
        <v>4.75</v>
      </c>
      <c r="H125" s="20">
        <v>7.3</v>
      </c>
      <c r="I125" s="21">
        <v>34.68</v>
      </c>
    </row>
    <row r="126" ht="20.25" customHeight="1">
      <c r="A126" s="20">
        <v>2026.0</v>
      </c>
      <c r="B126" s="20">
        <v>6.0</v>
      </c>
      <c r="C126" s="20" t="s">
        <v>130</v>
      </c>
      <c r="D126" s="20" t="s">
        <v>131</v>
      </c>
      <c r="E126" s="20" t="s">
        <v>28</v>
      </c>
      <c r="F126" s="20" t="s">
        <v>61</v>
      </c>
      <c r="G126" s="20">
        <v>22.75</v>
      </c>
      <c r="H126" s="20">
        <v>7.3</v>
      </c>
      <c r="I126" s="21">
        <v>166.08</v>
      </c>
    </row>
    <row r="127" ht="20.25" customHeight="1">
      <c r="A127" s="20">
        <v>2026.0</v>
      </c>
      <c r="B127" s="20">
        <v>6.0</v>
      </c>
      <c r="C127" s="20" t="s">
        <v>130</v>
      </c>
      <c r="D127" s="20" t="s">
        <v>131</v>
      </c>
      <c r="E127" s="20" t="s">
        <v>35</v>
      </c>
      <c r="F127" s="20" t="s">
        <v>61</v>
      </c>
      <c r="G127" s="20">
        <v>4.75</v>
      </c>
      <c r="H127" s="20">
        <v>29.0</v>
      </c>
      <c r="I127" s="21">
        <v>137.75</v>
      </c>
    </row>
    <row r="128" ht="20.25" customHeight="1">
      <c r="A128" s="20">
        <v>2026.0</v>
      </c>
      <c r="B128" s="20">
        <v>6.0</v>
      </c>
      <c r="C128" s="20" t="s">
        <v>130</v>
      </c>
      <c r="D128" s="20" t="s">
        <v>131</v>
      </c>
      <c r="E128" s="20" t="s">
        <v>35</v>
      </c>
      <c r="F128" s="20" t="s">
        <v>61</v>
      </c>
      <c r="G128" s="20">
        <v>22.75</v>
      </c>
      <c r="H128" s="20">
        <v>29.0</v>
      </c>
      <c r="I128" s="21">
        <v>659.75</v>
      </c>
    </row>
    <row r="129" ht="20.25" customHeight="1">
      <c r="A129" s="20">
        <v>2026.0</v>
      </c>
      <c r="B129" s="20">
        <v>6.0</v>
      </c>
      <c r="C129" s="20" t="s">
        <v>182</v>
      </c>
      <c r="D129" s="20" t="s">
        <v>184</v>
      </c>
      <c r="E129" s="20" t="s">
        <v>26</v>
      </c>
      <c r="F129" s="20" t="s">
        <v>61</v>
      </c>
      <c r="G129" s="20">
        <v>21.0</v>
      </c>
      <c r="H129" s="20">
        <v>10.2</v>
      </c>
      <c r="I129" s="21">
        <v>214.2</v>
      </c>
    </row>
    <row r="130" ht="20.25" customHeight="1">
      <c r="A130" s="20">
        <v>2026.0</v>
      </c>
      <c r="B130" s="20">
        <v>6.0</v>
      </c>
      <c r="C130" s="20" t="s">
        <v>182</v>
      </c>
      <c r="D130" s="20" t="s">
        <v>184</v>
      </c>
      <c r="E130" s="20" t="s">
        <v>38</v>
      </c>
      <c r="F130" s="20" t="s">
        <v>61</v>
      </c>
      <c r="G130" s="20">
        <v>21.0</v>
      </c>
      <c r="H130" s="20">
        <v>10.2</v>
      </c>
      <c r="I130" s="21">
        <v>214.2</v>
      </c>
    </row>
    <row r="131" ht="20.25" customHeight="1">
      <c r="A131" s="20">
        <v>2026.0</v>
      </c>
      <c r="B131" s="20">
        <v>4.0</v>
      </c>
      <c r="C131" s="20" t="s">
        <v>134</v>
      </c>
      <c r="D131" s="20" t="s">
        <v>107</v>
      </c>
      <c r="E131" s="20" t="s">
        <v>28</v>
      </c>
      <c r="F131" s="20" t="s">
        <v>61</v>
      </c>
      <c r="G131" s="20">
        <v>13.0</v>
      </c>
      <c r="H131" s="20">
        <v>6.5</v>
      </c>
      <c r="I131" s="21">
        <v>84.5</v>
      </c>
    </row>
    <row r="132" ht="20.25" customHeight="1">
      <c r="A132" s="20">
        <v>2026.0</v>
      </c>
      <c r="B132" s="20">
        <v>5.0</v>
      </c>
      <c r="C132" s="20" t="s">
        <v>134</v>
      </c>
      <c r="D132" s="20" t="s">
        <v>107</v>
      </c>
      <c r="E132" s="20" t="s">
        <v>28</v>
      </c>
      <c r="F132" s="20" t="s">
        <v>61</v>
      </c>
      <c r="G132" s="20">
        <v>15.5</v>
      </c>
      <c r="H132" s="20">
        <v>6.5</v>
      </c>
      <c r="I132" s="21">
        <v>100.75</v>
      </c>
    </row>
    <row r="133" ht="20.25" customHeight="1">
      <c r="A133" s="20">
        <v>2026.0</v>
      </c>
      <c r="B133" s="20">
        <v>6.0</v>
      </c>
      <c r="C133" s="20" t="s">
        <v>134</v>
      </c>
      <c r="D133" s="20" t="s">
        <v>107</v>
      </c>
      <c r="E133" s="20" t="s">
        <v>28</v>
      </c>
      <c r="F133" s="20" t="s">
        <v>61</v>
      </c>
      <c r="G133" s="20">
        <v>7.0</v>
      </c>
      <c r="H133" s="20">
        <v>6.5</v>
      </c>
      <c r="I133" s="21">
        <v>45.5</v>
      </c>
    </row>
    <row r="134" ht="20.25" customHeight="1">
      <c r="A134" s="20">
        <v>2026.0</v>
      </c>
      <c r="B134" s="20">
        <v>6.0</v>
      </c>
      <c r="C134" s="20" t="s">
        <v>106</v>
      </c>
      <c r="D134" s="20" t="s">
        <v>107</v>
      </c>
      <c r="E134" s="20" t="s">
        <v>28</v>
      </c>
      <c r="F134" s="20" t="s">
        <v>113</v>
      </c>
      <c r="G134" s="20">
        <v>15.0</v>
      </c>
      <c r="H134" s="20">
        <v>21.4</v>
      </c>
      <c r="I134" s="21">
        <v>321.0</v>
      </c>
    </row>
    <row r="135" ht="20.25" customHeight="1">
      <c r="A135" s="20">
        <v>2026.0</v>
      </c>
      <c r="B135" s="20">
        <v>6.0</v>
      </c>
      <c r="C135" s="20" t="s">
        <v>106</v>
      </c>
      <c r="D135" s="20" t="s">
        <v>107</v>
      </c>
      <c r="E135" s="20" t="s">
        <v>42</v>
      </c>
      <c r="F135" s="20" t="s">
        <v>113</v>
      </c>
      <c r="G135" s="20">
        <v>15.0</v>
      </c>
      <c r="H135" s="20">
        <v>7.1</v>
      </c>
      <c r="I135" s="21">
        <v>106.5</v>
      </c>
    </row>
    <row r="136" ht="20.25" customHeight="1">
      <c r="A136" s="20">
        <v>2026.0</v>
      </c>
      <c r="B136" s="20">
        <v>4.0</v>
      </c>
      <c r="C136" s="20" t="s">
        <v>59</v>
      </c>
      <c r="D136" s="20" t="s">
        <v>60</v>
      </c>
      <c r="E136" s="20" t="s">
        <v>28</v>
      </c>
      <c r="F136" s="20" t="s">
        <v>61</v>
      </c>
      <c r="G136" s="20">
        <v>20.0</v>
      </c>
      <c r="H136" s="20">
        <v>12.5</v>
      </c>
      <c r="I136" s="21">
        <v>250.0</v>
      </c>
    </row>
    <row r="137" ht="20.25" customHeight="1">
      <c r="A137" s="20">
        <v>2026.0</v>
      </c>
      <c r="B137" s="20">
        <v>5.0</v>
      </c>
      <c r="C137" s="20" t="s">
        <v>59</v>
      </c>
      <c r="D137" s="20" t="s">
        <v>60</v>
      </c>
      <c r="E137" s="20" t="s">
        <v>28</v>
      </c>
      <c r="F137" s="20" t="s">
        <v>61</v>
      </c>
      <c r="G137" s="20">
        <v>15.0</v>
      </c>
      <c r="H137" s="20">
        <v>12.5</v>
      </c>
      <c r="I137" s="21">
        <v>187.5</v>
      </c>
    </row>
    <row r="138" ht="20.25" customHeight="1">
      <c r="A138" s="20">
        <v>2026.0</v>
      </c>
      <c r="B138" s="20">
        <v>6.0</v>
      </c>
      <c r="C138" s="20" t="s">
        <v>59</v>
      </c>
      <c r="D138" s="20" t="s">
        <v>60</v>
      </c>
      <c r="E138" s="20" t="s">
        <v>28</v>
      </c>
      <c r="F138" s="20" t="s">
        <v>61</v>
      </c>
      <c r="G138" s="20">
        <v>18.0</v>
      </c>
      <c r="H138" s="20">
        <v>12.5</v>
      </c>
      <c r="I138" s="21">
        <v>225.0</v>
      </c>
    </row>
    <row r="139" ht="20.25" customHeight="1">
      <c r="A139" s="20">
        <v>2026.0</v>
      </c>
      <c r="B139" s="20">
        <v>6.0</v>
      </c>
      <c r="C139" s="20" t="s">
        <v>86</v>
      </c>
      <c r="D139" s="20" t="s">
        <v>15</v>
      </c>
      <c r="E139" s="20" t="s">
        <v>15</v>
      </c>
      <c r="F139" s="20" t="s">
        <v>61</v>
      </c>
      <c r="G139" s="20">
        <v>1.0</v>
      </c>
      <c r="H139" s="20">
        <v>53.3</v>
      </c>
      <c r="I139" s="21">
        <v>53.3</v>
      </c>
    </row>
    <row r="140" ht="20.25" customHeight="1">
      <c r="A140" s="20">
        <v>2026.0</v>
      </c>
      <c r="B140" s="20">
        <v>4.0</v>
      </c>
      <c r="C140" s="20" t="s">
        <v>124</v>
      </c>
      <c r="D140" s="20" t="s">
        <v>125</v>
      </c>
      <c r="E140" s="20" t="s">
        <v>15</v>
      </c>
      <c r="F140" s="20" t="s">
        <v>61</v>
      </c>
      <c r="G140" s="20">
        <v>21.0</v>
      </c>
      <c r="H140" s="20">
        <v>47.9</v>
      </c>
      <c r="I140" s="21">
        <v>1005.9</v>
      </c>
    </row>
    <row r="141" ht="20.25" customHeight="1">
      <c r="A141" s="20">
        <v>2026.0</v>
      </c>
      <c r="B141" s="20">
        <v>5.0</v>
      </c>
      <c r="C141" s="20" t="s">
        <v>124</v>
      </c>
      <c r="D141" s="20" t="s">
        <v>125</v>
      </c>
      <c r="E141" s="20" t="s">
        <v>15</v>
      </c>
      <c r="F141" s="20" t="s">
        <v>61</v>
      </c>
      <c r="G141" s="20">
        <v>13.5</v>
      </c>
      <c r="H141" s="20">
        <v>47.9</v>
      </c>
      <c r="I141" s="21">
        <v>646.65</v>
      </c>
    </row>
    <row r="142" ht="20.25" customHeight="1">
      <c r="A142" s="20">
        <v>2026.0</v>
      </c>
      <c r="B142" s="20">
        <v>6.0</v>
      </c>
      <c r="C142" s="20" t="s">
        <v>124</v>
      </c>
      <c r="D142" s="20" t="s">
        <v>125</v>
      </c>
      <c r="E142" s="20" t="s">
        <v>15</v>
      </c>
      <c r="F142" s="20" t="s">
        <v>61</v>
      </c>
      <c r="G142" s="20">
        <v>22.0</v>
      </c>
      <c r="H142" s="20">
        <v>47.9</v>
      </c>
      <c r="I142" s="21">
        <v>1053.8</v>
      </c>
    </row>
    <row r="143" ht="20.25" customHeight="1">
      <c r="A143" s="20">
        <v>2026.0</v>
      </c>
      <c r="B143" s="20">
        <v>4.0</v>
      </c>
      <c r="C143" s="20" t="s">
        <v>128</v>
      </c>
      <c r="D143" s="20" t="s">
        <v>129</v>
      </c>
      <c r="E143" s="20" t="s">
        <v>15</v>
      </c>
      <c r="F143" s="20" t="s">
        <v>61</v>
      </c>
      <c r="G143" s="20">
        <v>20.0</v>
      </c>
      <c r="H143" s="20">
        <v>14.3</v>
      </c>
      <c r="I143" s="21">
        <v>286.0</v>
      </c>
    </row>
    <row r="144" ht="20.25" customHeight="1">
      <c r="A144" s="20">
        <v>2026.0</v>
      </c>
      <c r="B144" s="20">
        <v>4.0</v>
      </c>
      <c r="C144" s="20" t="s">
        <v>71</v>
      </c>
      <c r="D144" s="20" t="s">
        <v>13</v>
      </c>
      <c r="E144" s="20" t="s">
        <v>17</v>
      </c>
      <c r="F144" s="20" t="s">
        <v>61</v>
      </c>
      <c r="G144" s="20">
        <v>18.5</v>
      </c>
      <c r="H144" s="20">
        <v>18.5</v>
      </c>
      <c r="I144" s="21">
        <v>342.25</v>
      </c>
    </row>
    <row r="145" ht="20.25" customHeight="1">
      <c r="A145" s="20">
        <v>2026.0</v>
      </c>
      <c r="B145" s="20">
        <v>5.0</v>
      </c>
      <c r="C145" s="20" t="s">
        <v>71</v>
      </c>
      <c r="D145" s="20" t="s">
        <v>13</v>
      </c>
      <c r="E145" s="20" t="s">
        <v>17</v>
      </c>
      <c r="F145" s="20" t="s">
        <v>61</v>
      </c>
      <c r="G145" s="20">
        <v>15.0</v>
      </c>
      <c r="H145" s="20">
        <v>18.5</v>
      </c>
      <c r="I145" s="21">
        <v>277.5</v>
      </c>
    </row>
    <row r="146" ht="20.25" customHeight="1">
      <c r="A146" s="20">
        <v>2026.0</v>
      </c>
      <c r="B146" s="20">
        <v>6.0</v>
      </c>
      <c r="C146" s="20" t="s">
        <v>71</v>
      </c>
      <c r="D146" s="20" t="s">
        <v>13</v>
      </c>
      <c r="E146" s="20" t="s">
        <v>17</v>
      </c>
      <c r="F146" s="20" t="s">
        <v>61</v>
      </c>
      <c r="G146" s="20">
        <v>6.5</v>
      </c>
      <c r="H146" s="20">
        <v>18.5</v>
      </c>
      <c r="I146" s="21">
        <v>120.25</v>
      </c>
    </row>
    <row r="147" ht="20.25" customHeight="1">
      <c r="A147" s="20">
        <v>2026.0</v>
      </c>
      <c r="B147" s="20">
        <v>6.0</v>
      </c>
      <c r="C147" s="20" t="s">
        <v>71</v>
      </c>
      <c r="D147" s="20" t="s">
        <v>13</v>
      </c>
      <c r="E147" s="20" t="s">
        <v>17</v>
      </c>
      <c r="F147" s="20" t="s">
        <v>61</v>
      </c>
      <c r="G147" s="20">
        <v>15.5</v>
      </c>
      <c r="H147" s="20">
        <v>18.5</v>
      </c>
      <c r="I147" s="21">
        <v>286.75</v>
      </c>
    </row>
    <row r="148" ht="20.25" customHeight="1">
      <c r="A148" s="20">
        <v>2026.0</v>
      </c>
      <c r="B148" s="20">
        <v>4.0</v>
      </c>
      <c r="C148" s="20" t="s">
        <v>66</v>
      </c>
      <c r="D148" s="20" t="s">
        <v>67</v>
      </c>
      <c r="E148" s="20" t="s">
        <v>28</v>
      </c>
      <c r="F148" s="20" t="s">
        <v>61</v>
      </c>
      <c r="G148" s="20">
        <v>21.0</v>
      </c>
      <c r="H148" s="20">
        <v>28.7</v>
      </c>
      <c r="I148" s="21">
        <v>602.7</v>
      </c>
    </row>
    <row r="149" ht="20.25" customHeight="1">
      <c r="A149" s="20">
        <v>2026.0</v>
      </c>
      <c r="B149" s="20">
        <v>5.0</v>
      </c>
      <c r="C149" s="20" t="s">
        <v>66</v>
      </c>
      <c r="D149" s="20" t="s">
        <v>67</v>
      </c>
      <c r="E149" s="20" t="s">
        <v>28</v>
      </c>
      <c r="F149" s="20" t="s">
        <v>61</v>
      </c>
      <c r="G149" s="20">
        <v>17.0</v>
      </c>
      <c r="H149" s="20">
        <v>28.7</v>
      </c>
      <c r="I149" s="21">
        <v>487.9</v>
      </c>
    </row>
    <row r="150" ht="20.25" customHeight="1">
      <c r="A150" s="20">
        <v>2026.0</v>
      </c>
      <c r="B150" s="20">
        <v>6.0</v>
      </c>
      <c r="C150" s="20" t="s">
        <v>66</v>
      </c>
      <c r="D150" s="20" t="s">
        <v>67</v>
      </c>
      <c r="E150" s="20" t="s">
        <v>28</v>
      </c>
      <c r="F150" s="20" t="s">
        <v>61</v>
      </c>
      <c r="G150" s="20">
        <v>9.0</v>
      </c>
      <c r="H150" s="20">
        <v>28.7</v>
      </c>
      <c r="I150" s="21">
        <v>258.3</v>
      </c>
    </row>
    <row r="151" ht="20.25" customHeight="1">
      <c r="A151" s="20">
        <v>2026.0</v>
      </c>
      <c r="B151" s="20">
        <v>6.0</v>
      </c>
      <c r="C151" s="20" t="s">
        <v>66</v>
      </c>
      <c r="D151" s="20" t="s">
        <v>67</v>
      </c>
      <c r="E151" s="20" t="s">
        <v>28</v>
      </c>
      <c r="F151" s="20" t="s">
        <v>61</v>
      </c>
      <c r="G151" s="20">
        <v>9.0</v>
      </c>
      <c r="H151" s="20">
        <v>28.7</v>
      </c>
      <c r="I151" s="21">
        <v>258.3</v>
      </c>
    </row>
    <row r="152" ht="20.25" customHeight="1">
      <c r="A152" s="20">
        <v>2026.0</v>
      </c>
      <c r="B152" s="20">
        <v>4.0</v>
      </c>
      <c r="C152" s="20" t="s">
        <v>76</v>
      </c>
      <c r="D152" s="20" t="s">
        <v>77</v>
      </c>
      <c r="E152" s="20" t="s">
        <v>17</v>
      </c>
      <c r="F152" s="20" t="s">
        <v>61</v>
      </c>
      <c r="G152" s="20">
        <v>21.0</v>
      </c>
      <c r="H152" s="20">
        <v>5.0</v>
      </c>
      <c r="I152" s="21">
        <v>105.0</v>
      </c>
    </row>
    <row r="153" ht="20.25" customHeight="1">
      <c r="A153" s="20">
        <v>2026.0</v>
      </c>
      <c r="B153" s="20">
        <v>5.0</v>
      </c>
      <c r="C153" s="20" t="s">
        <v>76</v>
      </c>
      <c r="D153" s="20" t="s">
        <v>77</v>
      </c>
      <c r="E153" s="20" t="s">
        <v>17</v>
      </c>
      <c r="F153" s="20" t="s">
        <v>61</v>
      </c>
      <c r="G153" s="20">
        <v>12.0</v>
      </c>
      <c r="H153" s="20">
        <v>5.0</v>
      </c>
      <c r="I153" s="21">
        <v>60.0</v>
      </c>
    </row>
    <row r="154" ht="20.25" customHeight="1">
      <c r="A154" s="20">
        <v>2026.0</v>
      </c>
      <c r="B154" s="20">
        <v>6.0</v>
      </c>
      <c r="C154" s="20" t="s">
        <v>76</v>
      </c>
      <c r="D154" s="20" t="s">
        <v>77</v>
      </c>
      <c r="E154" s="20" t="s">
        <v>17</v>
      </c>
      <c r="F154" s="20" t="s">
        <v>61</v>
      </c>
      <c r="G154" s="20">
        <v>17.0</v>
      </c>
      <c r="H154" s="20">
        <v>5.0</v>
      </c>
      <c r="I154" s="21">
        <v>85.0</v>
      </c>
    </row>
    <row r="155" ht="20.25" customHeight="1">
      <c r="A155" s="20">
        <v>2026.0</v>
      </c>
      <c r="B155" s="20">
        <v>4.0</v>
      </c>
      <c r="C155" s="20" t="s">
        <v>72</v>
      </c>
      <c r="D155" s="20" t="s">
        <v>73</v>
      </c>
      <c r="E155" s="20" t="s">
        <v>13</v>
      </c>
      <c r="F155" s="20" t="s">
        <v>61</v>
      </c>
      <c r="G155" s="20">
        <v>14.0</v>
      </c>
      <c r="H155" s="20">
        <v>25.8</v>
      </c>
      <c r="I155" s="21">
        <v>361.2</v>
      </c>
    </row>
    <row r="156" ht="20.25" customHeight="1">
      <c r="A156" s="20">
        <v>2026.0</v>
      </c>
      <c r="B156" s="20">
        <v>4.0</v>
      </c>
      <c r="C156" s="20" t="s">
        <v>72</v>
      </c>
      <c r="D156" s="20" t="s">
        <v>73</v>
      </c>
      <c r="E156" s="20" t="s">
        <v>17</v>
      </c>
      <c r="F156" s="20" t="s">
        <v>61</v>
      </c>
      <c r="G156" s="20">
        <v>14.0</v>
      </c>
      <c r="H156" s="20">
        <v>6.4</v>
      </c>
      <c r="I156" s="21">
        <v>89.6</v>
      </c>
    </row>
    <row r="157" ht="20.25" customHeight="1">
      <c r="A157" s="20">
        <v>2026.0</v>
      </c>
      <c r="B157" s="20">
        <v>5.0</v>
      </c>
      <c r="C157" s="20" t="s">
        <v>72</v>
      </c>
      <c r="D157" s="20" t="s">
        <v>73</v>
      </c>
      <c r="E157" s="20" t="s">
        <v>13</v>
      </c>
      <c r="F157" s="20" t="s">
        <v>61</v>
      </c>
      <c r="G157" s="20">
        <v>14.5</v>
      </c>
      <c r="H157" s="20">
        <v>25.8</v>
      </c>
      <c r="I157" s="21">
        <v>374.1</v>
      </c>
    </row>
    <row r="158" ht="20.25" customHeight="1">
      <c r="A158" s="20">
        <v>2026.0</v>
      </c>
      <c r="B158" s="20">
        <v>5.0</v>
      </c>
      <c r="C158" s="20" t="s">
        <v>72</v>
      </c>
      <c r="D158" s="20" t="s">
        <v>73</v>
      </c>
      <c r="E158" s="20" t="s">
        <v>17</v>
      </c>
      <c r="F158" s="20" t="s">
        <v>61</v>
      </c>
      <c r="G158" s="20">
        <v>14.5</v>
      </c>
      <c r="H158" s="20">
        <v>6.4</v>
      </c>
      <c r="I158" s="21">
        <v>92.8</v>
      </c>
    </row>
    <row r="159" ht="20.25" customHeight="1">
      <c r="A159" s="20">
        <v>2026.0</v>
      </c>
      <c r="B159" s="20">
        <v>6.0</v>
      </c>
      <c r="C159" s="20" t="s">
        <v>72</v>
      </c>
      <c r="D159" s="20" t="s">
        <v>73</v>
      </c>
      <c r="E159" s="20" t="s">
        <v>13</v>
      </c>
      <c r="F159" s="20" t="s">
        <v>61</v>
      </c>
      <c r="G159" s="20">
        <v>22.0</v>
      </c>
      <c r="H159" s="20">
        <v>25.8</v>
      </c>
      <c r="I159" s="21">
        <v>567.6</v>
      </c>
    </row>
    <row r="160" ht="20.25" customHeight="1">
      <c r="A160" s="20">
        <v>2026.0</v>
      </c>
      <c r="B160" s="20">
        <v>6.0</v>
      </c>
      <c r="C160" s="20" t="s">
        <v>72</v>
      </c>
      <c r="D160" s="20" t="s">
        <v>73</v>
      </c>
      <c r="E160" s="20" t="s">
        <v>17</v>
      </c>
      <c r="F160" s="20" t="s">
        <v>61</v>
      </c>
      <c r="G160" s="20">
        <v>22.0</v>
      </c>
      <c r="H160" s="20">
        <v>6.4</v>
      </c>
      <c r="I160" s="21">
        <v>140.8</v>
      </c>
    </row>
    <row r="161" ht="20.25" customHeight="1">
      <c r="A161" s="20">
        <v>2026.0</v>
      </c>
      <c r="B161" s="20">
        <v>5.0</v>
      </c>
      <c r="C161" s="20" t="s">
        <v>128</v>
      </c>
      <c r="D161" s="20" t="s">
        <v>129</v>
      </c>
      <c r="E161" s="20" t="s">
        <v>15</v>
      </c>
      <c r="F161" s="20" t="s">
        <v>61</v>
      </c>
      <c r="G161" s="20">
        <v>0.5</v>
      </c>
      <c r="H161" s="20">
        <v>14.3</v>
      </c>
      <c r="I161" s="21">
        <v>7.15</v>
      </c>
    </row>
    <row r="162" ht="20.25" customHeight="1">
      <c r="A162" s="20">
        <v>2026.0</v>
      </c>
      <c r="B162" s="20">
        <v>5.0</v>
      </c>
      <c r="C162" s="20" t="s">
        <v>128</v>
      </c>
      <c r="D162" s="20" t="s">
        <v>129</v>
      </c>
      <c r="E162" s="20" t="s">
        <v>15</v>
      </c>
      <c r="F162" s="20" t="s">
        <v>61</v>
      </c>
      <c r="G162" s="20">
        <v>17.0</v>
      </c>
      <c r="H162" s="20">
        <v>14.3</v>
      </c>
      <c r="I162" s="21">
        <v>243.1</v>
      </c>
    </row>
    <row r="163" ht="20.25" customHeight="1">
      <c r="A163" s="20">
        <v>2026.0</v>
      </c>
      <c r="B163" s="20">
        <v>6.0</v>
      </c>
      <c r="C163" s="20" t="s">
        <v>128</v>
      </c>
      <c r="D163" s="20" t="s">
        <v>129</v>
      </c>
      <c r="E163" s="20" t="s">
        <v>15</v>
      </c>
      <c r="F163" s="20" t="s">
        <v>61</v>
      </c>
      <c r="G163" s="20">
        <v>20.0</v>
      </c>
      <c r="H163" s="20">
        <v>14.3</v>
      </c>
      <c r="I163" s="21">
        <v>286.0</v>
      </c>
    </row>
    <row r="164" ht="20.25" customHeight="1">
      <c r="A164" s="20">
        <v>2026.0</v>
      </c>
      <c r="B164" s="20">
        <v>4.0</v>
      </c>
      <c r="C164" s="20" t="s">
        <v>62</v>
      </c>
      <c r="D164" s="20" t="s">
        <v>126</v>
      </c>
      <c r="E164" s="20" t="s">
        <v>15</v>
      </c>
      <c r="F164" s="20" t="s">
        <v>61</v>
      </c>
      <c r="G164" s="20">
        <v>17.5</v>
      </c>
      <c r="H164" s="20">
        <v>10.3</v>
      </c>
      <c r="I164" s="21">
        <v>180.25</v>
      </c>
    </row>
    <row r="165" ht="20.25" customHeight="1">
      <c r="A165" s="20">
        <v>2026.0</v>
      </c>
      <c r="B165" s="20">
        <v>5.0</v>
      </c>
      <c r="C165" s="20" t="s">
        <v>62</v>
      </c>
      <c r="D165" s="20" t="s">
        <v>126</v>
      </c>
      <c r="E165" s="20" t="s">
        <v>15</v>
      </c>
      <c r="F165" s="20" t="s">
        <v>61</v>
      </c>
      <c r="G165" s="20">
        <v>12.0</v>
      </c>
      <c r="H165" s="20">
        <v>10.3</v>
      </c>
      <c r="I165" s="21">
        <v>123.6</v>
      </c>
    </row>
    <row r="166" ht="20.25" customHeight="1">
      <c r="A166" s="20">
        <v>2026.0</v>
      </c>
      <c r="B166" s="20">
        <v>6.0</v>
      </c>
      <c r="C166" s="20" t="s">
        <v>62</v>
      </c>
      <c r="D166" s="20" t="s">
        <v>126</v>
      </c>
      <c r="E166" s="20" t="s">
        <v>15</v>
      </c>
      <c r="F166" s="20" t="s">
        <v>61</v>
      </c>
      <c r="G166" s="20">
        <v>16.5</v>
      </c>
      <c r="H166" s="20">
        <v>10.3</v>
      </c>
      <c r="I166" s="21">
        <v>169.95</v>
      </c>
    </row>
    <row r="167" ht="20.25" customHeight="1">
      <c r="A167" s="20">
        <v>2026.0</v>
      </c>
      <c r="B167" s="20">
        <v>4.0</v>
      </c>
      <c r="C167" s="20" t="s">
        <v>62</v>
      </c>
      <c r="D167" s="20" t="s">
        <v>15</v>
      </c>
      <c r="E167" s="20" t="s">
        <v>15</v>
      </c>
      <c r="F167" s="20" t="s">
        <v>61</v>
      </c>
      <c r="G167" s="20">
        <v>1.5</v>
      </c>
      <c r="H167" s="20">
        <v>10.0</v>
      </c>
      <c r="I167" s="21">
        <v>15.0</v>
      </c>
    </row>
    <row r="168" ht="20.25" customHeight="1">
      <c r="A168" s="20">
        <v>2026.0</v>
      </c>
      <c r="B168" s="20">
        <v>5.0</v>
      </c>
      <c r="C168" s="20" t="s">
        <v>62</v>
      </c>
      <c r="D168" s="20" t="s">
        <v>15</v>
      </c>
      <c r="E168" s="20" t="s">
        <v>15</v>
      </c>
      <c r="F168" s="20" t="s">
        <v>61</v>
      </c>
      <c r="G168" s="20">
        <v>1.5</v>
      </c>
      <c r="H168" s="20">
        <v>10.0</v>
      </c>
      <c r="I168" s="21">
        <v>15.0</v>
      </c>
    </row>
    <row r="169" ht="20.25" customHeight="1">
      <c r="A169" s="20">
        <v>2026.0</v>
      </c>
      <c r="B169" s="20">
        <v>6.0</v>
      </c>
      <c r="C169" s="20" t="s">
        <v>62</v>
      </c>
      <c r="D169" s="20" t="s">
        <v>15</v>
      </c>
      <c r="E169" s="20" t="s">
        <v>15</v>
      </c>
      <c r="F169" s="20" t="s">
        <v>61</v>
      </c>
      <c r="G169" s="20">
        <v>1.0</v>
      </c>
      <c r="H169" s="20">
        <v>10.0</v>
      </c>
      <c r="I169" s="21">
        <v>10.0</v>
      </c>
    </row>
    <row r="170" ht="20.25" customHeight="1">
      <c r="A170" s="20">
        <v>2026.0</v>
      </c>
      <c r="B170" s="20">
        <v>4.0</v>
      </c>
      <c r="C170" s="20" t="s">
        <v>62</v>
      </c>
      <c r="D170" s="20" t="s">
        <v>143</v>
      </c>
      <c r="E170" s="20" t="s">
        <v>15</v>
      </c>
      <c r="F170" s="20" t="s">
        <v>61</v>
      </c>
      <c r="G170" s="20">
        <v>19.0</v>
      </c>
      <c r="H170" s="20">
        <v>25.6</v>
      </c>
      <c r="I170" s="21">
        <v>486.4</v>
      </c>
    </row>
    <row r="171" ht="20.25" customHeight="1">
      <c r="A171" s="20">
        <v>2026.0</v>
      </c>
      <c r="B171" s="20">
        <v>5.0</v>
      </c>
      <c r="C171" s="20" t="s">
        <v>62</v>
      </c>
      <c r="D171" s="20" t="s">
        <v>143</v>
      </c>
      <c r="E171" s="20" t="s">
        <v>15</v>
      </c>
      <c r="F171" s="20" t="s">
        <v>61</v>
      </c>
      <c r="G171" s="20">
        <v>14.5</v>
      </c>
      <c r="H171" s="20">
        <v>25.6</v>
      </c>
      <c r="I171" s="21">
        <v>371.2</v>
      </c>
    </row>
    <row r="172" ht="20.25" customHeight="1">
      <c r="A172" s="20">
        <v>2026.0</v>
      </c>
      <c r="B172" s="20">
        <v>4.0</v>
      </c>
      <c r="C172" s="20" t="s">
        <v>94</v>
      </c>
      <c r="D172" s="20" t="s">
        <v>17</v>
      </c>
      <c r="E172" s="20" t="s">
        <v>17</v>
      </c>
      <c r="F172" s="20" t="s">
        <v>61</v>
      </c>
      <c r="G172" s="20">
        <v>15.0</v>
      </c>
      <c r="H172" s="20">
        <v>20.0</v>
      </c>
      <c r="I172" s="21">
        <v>300.0</v>
      </c>
    </row>
    <row r="173" ht="20.25" customHeight="1">
      <c r="A173" s="20">
        <v>2026.0</v>
      </c>
      <c r="B173" s="20">
        <v>5.0</v>
      </c>
      <c r="C173" s="20" t="s">
        <v>94</v>
      </c>
      <c r="D173" s="20" t="s">
        <v>17</v>
      </c>
      <c r="E173" s="20" t="s">
        <v>17</v>
      </c>
      <c r="F173" s="20" t="s">
        <v>61</v>
      </c>
      <c r="G173" s="20">
        <v>15.5</v>
      </c>
      <c r="H173" s="20">
        <v>20.0</v>
      </c>
      <c r="I173" s="21">
        <v>310.0</v>
      </c>
    </row>
    <row r="174" ht="20.25" customHeight="1">
      <c r="A174" s="20">
        <v>2026.0</v>
      </c>
      <c r="B174" s="20">
        <v>6.0</v>
      </c>
      <c r="C174" s="20" t="s">
        <v>94</v>
      </c>
      <c r="D174" s="20" t="s">
        <v>17</v>
      </c>
      <c r="E174" s="20" t="s">
        <v>17</v>
      </c>
      <c r="F174" s="20" t="s">
        <v>61</v>
      </c>
      <c r="G174" s="20">
        <v>3.0</v>
      </c>
      <c r="H174" s="20">
        <v>20.0</v>
      </c>
      <c r="I174" s="21">
        <v>60.0</v>
      </c>
    </row>
    <row r="175" ht="20.25" customHeight="1">
      <c r="A175" s="20">
        <v>2026.0</v>
      </c>
      <c r="B175" s="20">
        <v>6.0</v>
      </c>
      <c r="C175" s="20" t="s">
        <v>94</v>
      </c>
      <c r="D175" s="20" t="s">
        <v>17</v>
      </c>
      <c r="E175" s="20" t="s">
        <v>17</v>
      </c>
      <c r="F175" s="20" t="s">
        <v>61</v>
      </c>
      <c r="G175" s="20">
        <v>18.0</v>
      </c>
      <c r="H175" s="20">
        <v>20.0</v>
      </c>
      <c r="I175" s="21">
        <v>360.0</v>
      </c>
    </row>
    <row r="176" ht="20.25" customHeight="1">
      <c r="A176" s="20">
        <v>2026.0</v>
      </c>
      <c r="B176" s="20">
        <v>4.0</v>
      </c>
      <c r="C176" s="20" t="s">
        <v>97</v>
      </c>
      <c r="D176" s="20" t="s">
        <v>98</v>
      </c>
      <c r="E176" s="20" t="s">
        <v>17</v>
      </c>
      <c r="F176" s="20" t="s">
        <v>61</v>
      </c>
      <c r="G176" s="20">
        <v>19.0</v>
      </c>
      <c r="H176" s="20">
        <v>22.2</v>
      </c>
      <c r="I176" s="21">
        <v>421.8</v>
      </c>
    </row>
    <row r="177" ht="20.25" customHeight="1">
      <c r="A177" s="20">
        <v>2026.0</v>
      </c>
      <c r="B177" s="20">
        <v>5.0</v>
      </c>
      <c r="C177" s="20" t="s">
        <v>97</v>
      </c>
      <c r="D177" s="20" t="s">
        <v>98</v>
      </c>
      <c r="E177" s="20" t="s">
        <v>17</v>
      </c>
      <c r="F177" s="20" t="s">
        <v>61</v>
      </c>
      <c r="G177" s="20">
        <v>4.0</v>
      </c>
      <c r="H177" s="20">
        <v>22.2</v>
      </c>
      <c r="I177" s="21">
        <v>88.8</v>
      </c>
    </row>
    <row r="178" ht="20.25" customHeight="1">
      <c r="A178" s="20">
        <v>2026.0</v>
      </c>
      <c r="B178" s="20">
        <v>5.0</v>
      </c>
      <c r="C178" s="20" t="s">
        <v>97</v>
      </c>
      <c r="D178" s="20" t="s">
        <v>98</v>
      </c>
      <c r="E178" s="20" t="s">
        <v>17</v>
      </c>
      <c r="F178" s="20" t="s">
        <v>61</v>
      </c>
      <c r="G178" s="20">
        <v>13.0</v>
      </c>
      <c r="H178" s="20">
        <v>22.2</v>
      </c>
      <c r="I178" s="21">
        <v>288.6</v>
      </c>
    </row>
    <row r="179" ht="20.25" customHeight="1">
      <c r="A179" s="20">
        <v>2026.0</v>
      </c>
      <c r="B179" s="20">
        <v>6.0</v>
      </c>
      <c r="C179" s="20" t="s">
        <v>206</v>
      </c>
      <c r="D179" s="20" t="s">
        <v>98</v>
      </c>
      <c r="E179" s="20" t="s">
        <v>28</v>
      </c>
      <c r="F179" s="20" t="s">
        <v>113</v>
      </c>
      <c r="G179" s="20">
        <v>2.0</v>
      </c>
      <c r="H179" s="20">
        <v>14.7</v>
      </c>
      <c r="I179" s="21">
        <v>29.4</v>
      </c>
    </row>
    <row r="180" ht="20.25" customHeight="1">
      <c r="A180" s="20">
        <v>2026.0</v>
      </c>
      <c r="B180" s="20">
        <v>6.0</v>
      </c>
      <c r="C180" s="20" t="s">
        <v>206</v>
      </c>
      <c r="D180" s="20" t="s">
        <v>98</v>
      </c>
      <c r="E180" s="20" t="s">
        <v>42</v>
      </c>
      <c r="F180" s="20" t="s">
        <v>113</v>
      </c>
      <c r="G180" s="20">
        <v>2.0</v>
      </c>
      <c r="H180" s="20">
        <v>4.9</v>
      </c>
      <c r="I180" s="21">
        <v>9.8</v>
      </c>
    </row>
    <row r="181" ht="20.25" customHeight="1">
      <c r="A181" s="20">
        <v>2026.0</v>
      </c>
      <c r="B181" s="20">
        <v>4.0</v>
      </c>
      <c r="C181" s="20" t="s">
        <v>97</v>
      </c>
      <c r="D181" s="20" t="s">
        <v>110</v>
      </c>
      <c r="E181" s="20" t="s">
        <v>17</v>
      </c>
      <c r="F181" s="20" t="s">
        <v>61</v>
      </c>
      <c r="G181" s="20">
        <v>21.0</v>
      </c>
      <c r="H181" s="20">
        <v>14.4</v>
      </c>
      <c r="I181" s="21">
        <v>302.4</v>
      </c>
    </row>
    <row r="182" ht="20.25" customHeight="1">
      <c r="A182" s="20">
        <v>2026.0</v>
      </c>
      <c r="B182" s="20">
        <v>5.0</v>
      </c>
      <c r="C182" s="20" t="s">
        <v>97</v>
      </c>
      <c r="D182" s="20" t="s">
        <v>110</v>
      </c>
      <c r="E182" s="20" t="s">
        <v>17</v>
      </c>
      <c r="F182" s="20" t="s">
        <v>61</v>
      </c>
      <c r="G182" s="20">
        <v>2.5</v>
      </c>
      <c r="H182" s="20">
        <v>14.4</v>
      </c>
      <c r="I182" s="21">
        <v>36.0</v>
      </c>
    </row>
    <row r="183" ht="20.25" customHeight="1">
      <c r="A183" s="20">
        <v>2026.0</v>
      </c>
      <c r="B183" s="20">
        <v>5.0</v>
      </c>
      <c r="C183" s="20" t="s">
        <v>97</v>
      </c>
      <c r="D183" s="20" t="s">
        <v>110</v>
      </c>
      <c r="E183" s="20" t="s">
        <v>17</v>
      </c>
      <c r="F183" s="20" t="s">
        <v>61</v>
      </c>
      <c r="G183" s="20">
        <v>6.5</v>
      </c>
      <c r="H183" s="20">
        <v>14.4</v>
      </c>
      <c r="I183" s="21">
        <v>93.6</v>
      </c>
    </row>
    <row r="184" ht="20.25" customHeight="1">
      <c r="A184" s="20">
        <v>2026.0</v>
      </c>
      <c r="B184" s="20">
        <v>6.0</v>
      </c>
      <c r="C184" s="20" t="s">
        <v>97</v>
      </c>
      <c r="D184" s="20" t="s">
        <v>110</v>
      </c>
      <c r="E184" s="20" t="s">
        <v>17</v>
      </c>
      <c r="F184" s="20" t="s">
        <v>61</v>
      </c>
      <c r="G184" s="20">
        <v>22.0</v>
      </c>
      <c r="H184" s="20">
        <v>14.4</v>
      </c>
      <c r="I184" s="21">
        <v>316.8</v>
      </c>
    </row>
    <row r="185" ht="20.25" customHeight="1">
      <c r="A185" s="20">
        <v>2026.0</v>
      </c>
      <c r="B185" s="20">
        <v>4.0</v>
      </c>
      <c r="C185" s="20" t="s">
        <v>111</v>
      </c>
      <c r="D185" s="20" t="s">
        <v>112</v>
      </c>
      <c r="E185" s="20" t="s">
        <v>26</v>
      </c>
      <c r="F185" s="20" t="s">
        <v>61</v>
      </c>
      <c r="G185" s="20">
        <v>20.0</v>
      </c>
      <c r="H185" s="20">
        <v>17.9</v>
      </c>
      <c r="I185" s="21">
        <v>358.0</v>
      </c>
    </row>
    <row r="186" ht="20.25" customHeight="1">
      <c r="A186" s="20">
        <v>2026.0</v>
      </c>
      <c r="B186" s="20">
        <v>5.0</v>
      </c>
      <c r="C186" s="20" t="s">
        <v>111</v>
      </c>
      <c r="D186" s="20" t="s">
        <v>112</v>
      </c>
      <c r="E186" s="20" t="s">
        <v>26</v>
      </c>
      <c r="F186" s="20" t="s">
        <v>61</v>
      </c>
      <c r="G186" s="20">
        <v>3.0</v>
      </c>
      <c r="H186" s="20">
        <v>17.9</v>
      </c>
      <c r="I186" s="21">
        <v>53.7</v>
      </c>
    </row>
    <row r="187" ht="20.25" customHeight="1">
      <c r="A187" s="20">
        <v>2026.0</v>
      </c>
      <c r="B187" s="20">
        <v>4.0</v>
      </c>
      <c r="C187" s="20" t="s">
        <v>115</v>
      </c>
      <c r="D187" s="20" t="s">
        <v>116</v>
      </c>
      <c r="E187" s="20" t="s">
        <v>28</v>
      </c>
      <c r="F187" s="20" t="s">
        <v>61</v>
      </c>
      <c r="G187" s="20">
        <v>13.5</v>
      </c>
      <c r="H187" s="20">
        <v>12.5</v>
      </c>
      <c r="I187" s="21">
        <v>168.75</v>
      </c>
    </row>
    <row r="188" ht="20.25" customHeight="1">
      <c r="A188" s="20">
        <v>2026.0</v>
      </c>
      <c r="B188" s="20">
        <v>5.0</v>
      </c>
      <c r="C188" s="20" t="s">
        <v>115</v>
      </c>
      <c r="D188" s="20" t="s">
        <v>116</v>
      </c>
      <c r="E188" s="20" t="s">
        <v>28</v>
      </c>
      <c r="F188" s="20" t="s">
        <v>61</v>
      </c>
      <c r="G188" s="20">
        <v>17.0</v>
      </c>
      <c r="H188" s="20">
        <v>12.5</v>
      </c>
      <c r="I188" s="21">
        <v>212.5</v>
      </c>
    </row>
    <row r="189" ht="20.25" customHeight="1">
      <c r="A189" s="20">
        <v>2026.0</v>
      </c>
      <c r="B189" s="20">
        <v>6.0</v>
      </c>
      <c r="C189" s="20" t="s">
        <v>115</v>
      </c>
      <c r="D189" s="20" t="s">
        <v>116</v>
      </c>
      <c r="E189" s="20" t="s">
        <v>28</v>
      </c>
      <c r="F189" s="20" t="s">
        <v>61</v>
      </c>
      <c r="G189" s="20">
        <v>21.0</v>
      </c>
      <c r="H189" s="20">
        <v>12.5</v>
      </c>
      <c r="I189" s="21">
        <v>262.5</v>
      </c>
    </row>
    <row r="190" ht="20.25" customHeight="1">
      <c r="A190" s="20">
        <v>2026.0</v>
      </c>
      <c r="B190" s="20">
        <v>4.0</v>
      </c>
      <c r="C190" s="20" t="s">
        <v>119</v>
      </c>
      <c r="D190" s="20" t="s">
        <v>120</v>
      </c>
      <c r="E190" s="20" t="s">
        <v>22</v>
      </c>
      <c r="F190" s="20" t="s">
        <v>61</v>
      </c>
      <c r="G190" s="20">
        <v>10.0</v>
      </c>
      <c r="H190" s="20">
        <v>35.9</v>
      </c>
      <c r="I190" s="21">
        <v>359.0</v>
      </c>
    </row>
    <row r="191" ht="20.25" customHeight="1">
      <c r="A191" s="20">
        <v>2026.0</v>
      </c>
      <c r="B191" s="20">
        <v>5.0</v>
      </c>
      <c r="C191" s="20" t="s">
        <v>119</v>
      </c>
      <c r="D191" s="20" t="s">
        <v>120</v>
      </c>
      <c r="E191" s="20" t="s">
        <v>22</v>
      </c>
      <c r="F191" s="20" t="s">
        <v>61</v>
      </c>
      <c r="G191" s="20">
        <v>15.0</v>
      </c>
      <c r="H191" s="20">
        <v>35.9</v>
      </c>
      <c r="I191" s="21">
        <v>538.5</v>
      </c>
    </row>
    <row r="192" ht="20.25" customHeight="1">
      <c r="A192" s="20">
        <v>2026.0</v>
      </c>
      <c r="B192" s="20">
        <v>6.0</v>
      </c>
      <c r="C192" s="20" t="s">
        <v>119</v>
      </c>
      <c r="D192" s="20" t="s">
        <v>120</v>
      </c>
      <c r="E192" s="20" t="s">
        <v>22</v>
      </c>
      <c r="F192" s="20" t="s">
        <v>61</v>
      </c>
      <c r="G192" s="20">
        <v>15.5</v>
      </c>
      <c r="H192" s="20">
        <v>35.9</v>
      </c>
      <c r="I192" s="21">
        <v>556.45</v>
      </c>
    </row>
    <row r="193" ht="20.25" customHeight="1">
      <c r="A193" s="20">
        <v>2026.0</v>
      </c>
      <c r="B193" s="20">
        <v>4.0</v>
      </c>
      <c r="C193" s="20" t="s">
        <v>135</v>
      </c>
      <c r="D193" s="20" t="s">
        <v>22</v>
      </c>
      <c r="E193" s="20" t="s">
        <v>22</v>
      </c>
      <c r="F193" s="20" t="s">
        <v>61</v>
      </c>
      <c r="G193" s="20">
        <v>4.0</v>
      </c>
      <c r="H193" s="20">
        <v>4.0</v>
      </c>
      <c r="I193" s="21">
        <v>16.0</v>
      </c>
    </row>
    <row r="194" ht="20.25" customHeight="1">
      <c r="A194" s="20">
        <v>2026.0</v>
      </c>
      <c r="B194" s="20">
        <v>4.0</v>
      </c>
      <c r="C194" s="20" t="s">
        <v>135</v>
      </c>
      <c r="D194" s="20" t="s">
        <v>22</v>
      </c>
      <c r="E194" s="20" t="s">
        <v>22</v>
      </c>
      <c r="F194" s="20" t="s">
        <v>61</v>
      </c>
      <c r="G194" s="20">
        <v>15.75</v>
      </c>
      <c r="H194" s="20">
        <v>4.0</v>
      </c>
      <c r="I194" s="21">
        <v>63.0</v>
      </c>
    </row>
    <row r="195" ht="20.25" customHeight="1">
      <c r="A195" s="20">
        <v>2026.0</v>
      </c>
      <c r="B195" s="20">
        <v>5.0</v>
      </c>
      <c r="C195" s="20" t="s">
        <v>209</v>
      </c>
      <c r="D195" s="20" t="s">
        <v>22</v>
      </c>
      <c r="E195" s="20" t="s">
        <v>22</v>
      </c>
      <c r="F195" s="20" t="s">
        <v>61</v>
      </c>
      <c r="G195" s="20">
        <v>13.0</v>
      </c>
      <c r="H195" s="20">
        <v>4.0</v>
      </c>
      <c r="I195" s="21">
        <v>52.0</v>
      </c>
    </row>
    <row r="196" ht="20.25" customHeight="1">
      <c r="A196" s="20">
        <v>2026.0</v>
      </c>
      <c r="B196" s="20">
        <v>6.0</v>
      </c>
      <c r="C196" s="20" t="s">
        <v>209</v>
      </c>
      <c r="D196" s="20" t="s">
        <v>22</v>
      </c>
      <c r="E196" s="20" t="s">
        <v>22</v>
      </c>
      <c r="F196" s="20" t="s">
        <v>61</v>
      </c>
      <c r="G196" s="20">
        <v>22.0</v>
      </c>
      <c r="H196" s="20">
        <v>4.0</v>
      </c>
      <c r="I196" s="21">
        <v>88.0</v>
      </c>
    </row>
    <row r="197" ht="20.25" customHeight="1">
      <c r="A197" s="20">
        <v>2026.0</v>
      </c>
      <c r="B197" s="20">
        <v>4.0</v>
      </c>
      <c r="C197" s="20" t="s">
        <v>137</v>
      </c>
      <c r="D197" s="20" t="s">
        <v>138</v>
      </c>
      <c r="E197" s="20" t="s">
        <v>28</v>
      </c>
      <c r="F197" s="20" t="s">
        <v>61</v>
      </c>
      <c r="G197" s="20">
        <v>20.5</v>
      </c>
      <c r="H197" s="20">
        <v>14.6</v>
      </c>
      <c r="I197" s="21">
        <v>299.3</v>
      </c>
    </row>
    <row r="198" ht="20.25" customHeight="1">
      <c r="A198" s="20">
        <v>2026.0</v>
      </c>
      <c r="B198" s="20">
        <v>5.0</v>
      </c>
      <c r="C198" s="20" t="s">
        <v>137</v>
      </c>
      <c r="D198" s="20" t="s">
        <v>138</v>
      </c>
      <c r="E198" s="20" t="s">
        <v>28</v>
      </c>
      <c r="F198" s="20" t="s">
        <v>61</v>
      </c>
      <c r="G198" s="20">
        <v>16.0</v>
      </c>
      <c r="H198" s="20">
        <v>14.6</v>
      </c>
      <c r="I198" s="21">
        <v>233.6</v>
      </c>
    </row>
    <row r="199" ht="20.25" customHeight="1">
      <c r="A199" s="20">
        <v>2026.0</v>
      </c>
      <c r="B199" s="20">
        <v>6.0</v>
      </c>
      <c r="C199" s="20" t="s">
        <v>137</v>
      </c>
      <c r="D199" s="20" t="s">
        <v>138</v>
      </c>
      <c r="E199" s="20" t="s">
        <v>28</v>
      </c>
      <c r="F199" s="20" t="s">
        <v>61</v>
      </c>
      <c r="G199" s="20">
        <v>22.0</v>
      </c>
      <c r="H199" s="20">
        <v>14.6</v>
      </c>
      <c r="I199" s="21">
        <v>321.2</v>
      </c>
    </row>
    <row r="200" ht="20.25" customHeight="1">
      <c r="A200" s="20">
        <v>2026.0</v>
      </c>
      <c r="B200" s="20">
        <v>4.0</v>
      </c>
      <c r="C200" s="20" t="s">
        <v>139</v>
      </c>
      <c r="D200" s="20" t="s">
        <v>140</v>
      </c>
      <c r="E200" s="20" t="s">
        <v>21</v>
      </c>
      <c r="F200" s="20" t="s">
        <v>61</v>
      </c>
      <c r="G200" s="20">
        <v>15.0</v>
      </c>
      <c r="H200" s="20">
        <v>20.0</v>
      </c>
      <c r="I200" s="21">
        <v>300.0</v>
      </c>
    </row>
    <row r="201" ht="20.25" customHeight="1">
      <c r="A201" s="20">
        <v>2026.0</v>
      </c>
      <c r="B201" s="20">
        <v>5.0</v>
      </c>
      <c r="C201" s="20" t="s">
        <v>139</v>
      </c>
      <c r="D201" s="20" t="s">
        <v>140</v>
      </c>
      <c r="E201" s="20" t="s">
        <v>21</v>
      </c>
      <c r="F201" s="20" t="s">
        <v>61</v>
      </c>
      <c r="G201" s="20">
        <v>15.5</v>
      </c>
      <c r="H201" s="20">
        <v>20.0</v>
      </c>
      <c r="I201" s="21">
        <v>310.0</v>
      </c>
    </row>
    <row r="202" ht="20.25" customHeight="1">
      <c r="A202" s="20">
        <v>2026.0</v>
      </c>
      <c r="B202" s="20">
        <v>6.0</v>
      </c>
      <c r="C202" s="20" t="s">
        <v>139</v>
      </c>
      <c r="D202" s="20" t="s">
        <v>140</v>
      </c>
      <c r="E202" s="20" t="s">
        <v>21</v>
      </c>
      <c r="F202" s="20" t="s">
        <v>61</v>
      </c>
      <c r="G202" s="20">
        <v>15.0</v>
      </c>
      <c r="H202" s="20">
        <v>20.0</v>
      </c>
      <c r="I202" s="21">
        <v>300.0</v>
      </c>
    </row>
    <row r="203" ht="20.25" customHeight="1">
      <c r="A203" s="20">
        <v>2026.0</v>
      </c>
      <c r="B203" s="20">
        <v>6.0</v>
      </c>
      <c r="C203" s="20" t="s">
        <v>62</v>
      </c>
      <c r="D203" s="20" t="s">
        <v>143</v>
      </c>
      <c r="E203" s="20" t="s">
        <v>15</v>
      </c>
      <c r="F203" s="20" t="s">
        <v>61</v>
      </c>
      <c r="G203" s="20">
        <v>3.5</v>
      </c>
      <c r="H203" s="20">
        <v>25.6</v>
      </c>
      <c r="I203" s="21">
        <v>89.6</v>
      </c>
    </row>
    <row r="204" ht="20.25" customHeight="1">
      <c r="A204" s="20">
        <v>2026.0</v>
      </c>
      <c r="B204" s="20">
        <v>6.0</v>
      </c>
      <c r="C204" s="20" t="s">
        <v>62</v>
      </c>
      <c r="D204" s="20" t="s">
        <v>143</v>
      </c>
      <c r="E204" s="20" t="s">
        <v>15</v>
      </c>
      <c r="F204" s="20" t="s">
        <v>61</v>
      </c>
      <c r="G204" s="20">
        <v>7.5</v>
      </c>
      <c r="H204" s="20">
        <v>25.6</v>
      </c>
      <c r="I204" s="21">
        <v>192.0</v>
      </c>
    </row>
    <row r="205" ht="20.25" customHeight="1">
      <c r="A205" s="20">
        <v>2026.0</v>
      </c>
      <c r="B205" s="20">
        <v>4.0</v>
      </c>
      <c r="C205" s="20" t="s">
        <v>62</v>
      </c>
      <c r="D205" s="20" t="s">
        <v>207</v>
      </c>
      <c r="E205" s="20" t="s">
        <v>15</v>
      </c>
      <c r="F205" s="20" t="s">
        <v>61</v>
      </c>
      <c r="G205" s="20">
        <v>21.0</v>
      </c>
      <c r="H205" s="20">
        <v>33.1</v>
      </c>
      <c r="I205" s="21">
        <v>695.1</v>
      </c>
    </row>
    <row r="206" ht="20.25" customHeight="1">
      <c r="A206" s="20">
        <v>2026.0</v>
      </c>
      <c r="B206" s="20">
        <v>5.0</v>
      </c>
      <c r="C206" s="20" t="s">
        <v>62</v>
      </c>
      <c r="D206" s="20" t="s">
        <v>207</v>
      </c>
      <c r="E206" s="20" t="s">
        <v>15</v>
      </c>
      <c r="F206" s="20" t="s">
        <v>61</v>
      </c>
      <c r="G206" s="20">
        <v>12.0</v>
      </c>
      <c r="H206" s="20">
        <v>33.1</v>
      </c>
      <c r="I206" s="21">
        <v>397.2</v>
      </c>
    </row>
    <row r="207" ht="20.25" customHeight="1">
      <c r="A207" s="20">
        <v>2026.0</v>
      </c>
      <c r="B207" s="20">
        <v>4.0</v>
      </c>
      <c r="C207" s="20" t="s">
        <v>84</v>
      </c>
      <c r="D207" s="20" t="s">
        <v>85</v>
      </c>
      <c r="E207" s="20" t="s">
        <v>28</v>
      </c>
      <c r="F207" s="20" t="s">
        <v>61</v>
      </c>
      <c r="G207" s="20">
        <v>20.0</v>
      </c>
      <c r="H207" s="20">
        <v>43.4</v>
      </c>
      <c r="I207" s="21">
        <v>868.0</v>
      </c>
    </row>
    <row r="208" ht="20.25" customHeight="1">
      <c r="A208" s="20">
        <v>2026.0</v>
      </c>
      <c r="B208" s="20">
        <v>5.0</v>
      </c>
      <c r="C208" s="20" t="s">
        <v>84</v>
      </c>
      <c r="D208" s="20" t="s">
        <v>85</v>
      </c>
      <c r="E208" s="20" t="s">
        <v>28</v>
      </c>
      <c r="F208" s="20" t="s">
        <v>61</v>
      </c>
      <c r="G208" s="20">
        <v>16.5</v>
      </c>
      <c r="H208" s="20">
        <v>43.4</v>
      </c>
      <c r="I208" s="21">
        <v>716.1</v>
      </c>
    </row>
    <row r="209" ht="20.25" customHeight="1">
      <c r="A209" s="20">
        <v>2026.0</v>
      </c>
      <c r="B209" s="20">
        <v>6.0</v>
      </c>
      <c r="C209" s="20" t="s">
        <v>84</v>
      </c>
      <c r="D209" s="20" t="s">
        <v>85</v>
      </c>
      <c r="E209" s="20" t="s">
        <v>28</v>
      </c>
      <c r="F209" s="20" t="s">
        <v>61</v>
      </c>
      <c r="G209" s="20">
        <v>3.5</v>
      </c>
      <c r="H209" s="20">
        <v>43.4</v>
      </c>
      <c r="I209" s="21">
        <v>151.9</v>
      </c>
    </row>
    <row r="210" ht="20.25" customHeight="1">
      <c r="A210" s="20">
        <v>2026.0</v>
      </c>
      <c r="B210" s="20">
        <v>6.0</v>
      </c>
      <c r="C210" s="20" t="s">
        <v>84</v>
      </c>
      <c r="D210" s="20" t="s">
        <v>85</v>
      </c>
      <c r="E210" s="20" t="s">
        <v>28</v>
      </c>
      <c r="F210" s="20" t="s">
        <v>61</v>
      </c>
      <c r="G210" s="20">
        <v>18.5</v>
      </c>
      <c r="H210" s="20">
        <v>43.4</v>
      </c>
      <c r="I210" s="21">
        <v>802.9</v>
      </c>
    </row>
    <row r="211" ht="20.25" customHeight="1">
      <c r="A211" s="20">
        <v>2026.0</v>
      </c>
      <c r="B211" s="20">
        <v>6.0</v>
      </c>
      <c r="C211" s="20" t="s">
        <v>62</v>
      </c>
      <c r="D211" s="20" t="s">
        <v>207</v>
      </c>
      <c r="E211" s="20" t="s">
        <v>15</v>
      </c>
      <c r="F211" s="20" t="s">
        <v>61</v>
      </c>
      <c r="G211" s="20">
        <v>4.0</v>
      </c>
      <c r="H211" s="20">
        <v>33.1</v>
      </c>
      <c r="I211" s="21">
        <v>132.4</v>
      </c>
    </row>
    <row r="212" ht="20.25" customHeight="1">
      <c r="A212" s="20">
        <v>2026.0</v>
      </c>
      <c r="B212" s="20">
        <v>4.0</v>
      </c>
      <c r="C212" s="20" t="s">
        <v>62</v>
      </c>
      <c r="D212" s="20" t="s">
        <v>143</v>
      </c>
      <c r="E212" s="20" t="s">
        <v>35</v>
      </c>
      <c r="F212" s="20" t="s">
        <v>61</v>
      </c>
      <c r="G212" s="20">
        <v>19.0</v>
      </c>
      <c r="H212" s="20">
        <v>5.9</v>
      </c>
      <c r="I212" s="21">
        <v>112.1</v>
      </c>
    </row>
    <row r="213" ht="20.25" customHeight="1">
      <c r="A213" s="20">
        <v>2026.0</v>
      </c>
      <c r="B213" s="20">
        <v>6.0</v>
      </c>
      <c r="C213" s="20" t="s">
        <v>62</v>
      </c>
      <c r="D213" s="20" t="s">
        <v>207</v>
      </c>
      <c r="E213" s="20" t="s">
        <v>15</v>
      </c>
      <c r="F213" s="20" t="s">
        <v>61</v>
      </c>
      <c r="G213" s="20">
        <v>16.0</v>
      </c>
      <c r="H213" s="20">
        <v>33.1</v>
      </c>
      <c r="I213" s="21">
        <v>529.6</v>
      </c>
    </row>
    <row r="214" ht="20.25" customHeight="1">
      <c r="A214" s="20">
        <v>2026.0</v>
      </c>
      <c r="B214" s="20">
        <v>5.0</v>
      </c>
      <c r="C214" s="20" t="s">
        <v>62</v>
      </c>
      <c r="D214" s="20" t="s">
        <v>143</v>
      </c>
      <c r="E214" s="20" t="s">
        <v>35</v>
      </c>
      <c r="F214" s="20" t="s">
        <v>61</v>
      </c>
      <c r="G214" s="20">
        <v>14.5</v>
      </c>
      <c r="H214" s="20">
        <v>5.9</v>
      </c>
      <c r="I214" s="21">
        <v>85.55</v>
      </c>
    </row>
    <row r="215" ht="20.25" customHeight="1">
      <c r="A215" s="20">
        <v>2026.0</v>
      </c>
      <c r="B215" s="20">
        <v>4.0</v>
      </c>
      <c r="C215" s="20" t="s">
        <v>62</v>
      </c>
      <c r="D215" s="20" t="s">
        <v>215</v>
      </c>
      <c r="E215" s="20" t="s">
        <v>15</v>
      </c>
      <c r="F215" s="20" t="s">
        <v>61</v>
      </c>
      <c r="G215" s="20">
        <v>11.5</v>
      </c>
      <c r="H215" s="20">
        <v>14.5</v>
      </c>
      <c r="I215" s="21">
        <v>166.75</v>
      </c>
    </row>
    <row r="216" ht="20.25" customHeight="1">
      <c r="A216" s="20">
        <v>2026.0</v>
      </c>
      <c r="B216" s="20">
        <v>5.0</v>
      </c>
      <c r="C216" s="20" t="s">
        <v>62</v>
      </c>
      <c r="D216" s="20" t="s">
        <v>215</v>
      </c>
      <c r="E216" s="20" t="s">
        <v>15</v>
      </c>
      <c r="F216" s="20" t="s">
        <v>61</v>
      </c>
      <c r="G216" s="20">
        <v>13.5</v>
      </c>
      <c r="H216" s="20">
        <v>14.5</v>
      </c>
      <c r="I216" s="21">
        <v>195.75</v>
      </c>
    </row>
    <row r="217" ht="20.25" customHeight="1">
      <c r="A217" s="20">
        <v>2026.0</v>
      </c>
      <c r="B217" s="20">
        <v>6.0</v>
      </c>
      <c r="C217" s="20" t="s">
        <v>62</v>
      </c>
      <c r="D217" s="20" t="s">
        <v>143</v>
      </c>
      <c r="E217" s="20" t="s">
        <v>35</v>
      </c>
      <c r="F217" s="20" t="s">
        <v>61</v>
      </c>
      <c r="G217" s="20">
        <v>3.5</v>
      </c>
      <c r="H217" s="20">
        <v>5.9</v>
      </c>
      <c r="I217" s="21">
        <v>20.65</v>
      </c>
    </row>
    <row r="218" ht="20.25" customHeight="1">
      <c r="A218" s="20">
        <v>2026.0</v>
      </c>
      <c r="B218" s="20">
        <v>6.0</v>
      </c>
      <c r="C218" s="20" t="s">
        <v>62</v>
      </c>
      <c r="D218" s="20" t="s">
        <v>143</v>
      </c>
      <c r="E218" s="20" t="s">
        <v>35</v>
      </c>
      <c r="F218" s="20" t="s">
        <v>61</v>
      </c>
      <c r="G218" s="20">
        <v>7.5</v>
      </c>
      <c r="H218" s="20">
        <v>5.9</v>
      </c>
      <c r="I218" s="21">
        <v>44.25</v>
      </c>
    </row>
    <row r="219" ht="20.25" customHeight="1">
      <c r="A219" s="20">
        <v>2026.0</v>
      </c>
      <c r="B219" s="20">
        <v>4.0</v>
      </c>
      <c r="C219" s="20" t="s">
        <v>144</v>
      </c>
      <c r="D219" s="20" t="s">
        <v>23</v>
      </c>
      <c r="E219" s="20" t="s">
        <v>23</v>
      </c>
      <c r="F219" s="20" t="s">
        <v>61</v>
      </c>
      <c r="G219" s="20">
        <v>5.0</v>
      </c>
      <c r="H219" s="20">
        <v>19.7</v>
      </c>
      <c r="I219" s="21">
        <v>98.5</v>
      </c>
    </row>
    <row r="220" ht="20.25" customHeight="1">
      <c r="A220" s="20">
        <v>2026.0</v>
      </c>
      <c r="B220" s="20">
        <v>4.0</v>
      </c>
      <c r="C220" s="20" t="s">
        <v>144</v>
      </c>
      <c r="D220" s="20" t="s">
        <v>23</v>
      </c>
      <c r="E220" s="20" t="s">
        <v>23</v>
      </c>
      <c r="F220" s="20" t="s">
        <v>61</v>
      </c>
      <c r="G220" s="20">
        <v>12.0</v>
      </c>
      <c r="H220" s="20">
        <v>19.7</v>
      </c>
      <c r="I220" s="21">
        <v>236.4</v>
      </c>
    </row>
    <row r="221" ht="20.25" customHeight="1">
      <c r="A221" s="20">
        <v>2026.0</v>
      </c>
      <c r="B221" s="20">
        <v>5.0</v>
      </c>
      <c r="C221" s="20" t="s">
        <v>144</v>
      </c>
      <c r="D221" s="20" t="s">
        <v>23</v>
      </c>
      <c r="E221" s="20" t="s">
        <v>23</v>
      </c>
      <c r="F221" s="20" t="s">
        <v>61</v>
      </c>
      <c r="G221" s="20">
        <v>15.0</v>
      </c>
      <c r="H221" s="20">
        <v>19.7</v>
      </c>
      <c r="I221" s="21">
        <v>295.5</v>
      </c>
    </row>
    <row r="222" ht="20.25" customHeight="1">
      <c r="A222" s="20">
        <v>2026.0</v>
      </c>
      <c r="B222" s="20">
        <v>6.0</v>
      </c>
      <c r="C222" s="20" t="s">
        <v>144</v>
      </c>
      <c r="D222" s="20" t="s">
        <v>23</v>
      </c>
      <c r="E222" s="20" t="s">
        <v>23</v>
      </c>
      <c r="F222" s="20" t="s">
        <v>61</v>
      </c>
      <c r="G222" s="20">
        <v>21.0</v>
      </c>
      <c r="H222" s="20">
        <v>19.7</v>
      </c>
      <c r="I222" s="21">
        <v>413.7</v>
      </c>
    </row>
    <row r="223" ht="20.25" customHeight="1">
      <c r="A223" s="20">
        <v>2026.0</v>
      </c>
      <c r="B223" s="20">
        <v>4.0</v>
      </c>
      <c r="C223" s="20" t="s">
        <v>145</v>
      </c>
      <c r="D223" s="20" t="s">
        <v>24</v>
      </c>
      <c r="E223" s="20" t="s">
        <v>48</v>
      </c>
      <c r="F223" s="20" t="s">
        <v>61</v>
      </c>
      <c r="G223" s="20">
        <v>21.0</v>
      </c>
      <c r="H223" s="20">
        <v>26.9</v>
      </c>
      <c r="I223" s="21">
        <v>564.9</v>
      </c>
    </row>
    <row r="224" ht="20.25" customHeight="1">
      <c r="A224" s="20">
        <v>2026.0</v>
      </c>
      <c r="B224" s="20">
        <v>5.0</v>
      </c>
      <c r="C224" s="20" t="s">
        <v>222</v>
      </c>
      <c r="D224" s="20" t="s">
        <v>24</v>
      </c>
      <c r="E224" s="20" t="s">
        <v>48</v>
      </c>
      <c r="F224" s="20" t="s">
        <v>61</v>
      </c>
      <c r="G224" s="20">
        <v>3.5</v>
      </c>
      <c r="H224" s="20">
        <v>26.9</v>
      </c>
      <c r="I224" s="21">
        <v>94.15</v>
      </c>
    </row>
    <row r="225" ht="20.25" customHeight="1">
      <c r="A225" s="20">
        <v>2026.0</v>
      </c>
      <c r="B225" s="20">
        <v>5.0</v>
      </c>
      <c r="C225" s="20" t="s">
        <v>145</v>
      </c>
      <c r="D225" s="20" t="s">
        <v>24</v>
      </c>
      <c r="E225" s="20" t="s">
        <v>48</v>
      </c>
      <c r="F225" s="20" t="s">
        <v>61</v>
      </c>
      <c r="G225" s="20">
        <v>11.0</v>
      </c>
      <c r="H225" s="20">
        <v>26.9</v>
      </c>
      <c r="I225" s="21">
        <v>295.9</v>
      </c>
    </row>
    <row r="226" ht="20.25" customHeight="1">
      <c r="A226" s="20">
        <v>2026.0</v>
      </c>
      <c r="B226" s="20">
        <v>6.0</v>
      </c>
      <c r="C226" s="20" t="s">
        <v>222</v>
      </c>
      <c r="D226" s="20" t="s">
        <v>24</v>
      </c>
      <c r="E226" s="20" t="s">
        <v>48</v>
      </c>
      <c r="F226" s="20" t="s">
        <v>61</v>
      </c>
      <c r="G226" s="20">
        <v>4.0</v>
      </c>
      <c r="H226" s="20">
        <v>26.9</v>
      </c>
      <c r="I226" s="21">
        <v>107.6</v>
      </c>
    </row>
    <row r="227" ht="20.25" customHeight="1">
      <c r="A227" s="20">
        <v>2026.0</v>
      </c>
      <c r="B227" s="20">
        <v>6.0</v>
      </c>
      <c r="C227" s="20" t="s">
        <v>145</v>
      </c>
      <c r="D227" s="20" t="s">
        <v>24</v>
      </c>
      <c r="E227" s="20" t="s">
        <v>48</v>
      </c>
      <c r="F227" s="20" t="s">
        <v>61</v>
      </c>
      <c r="G227" s="20">
        <v>14.0</v>
      </c>
      <c r="H227" s="20">
        <v>26.9</v>
      </c>
      <c r="I227" s="21">
        <v>376.6</v>
      </c>
    </row>
    <row r="228" ht="20.25" customHeight="1">
      <c r="A228" s="20">
        <v>2026.0</v>
      </c>
      <c r="B228" s="20">
        <v>4.0</v>
      </c>
      <c r="C228" s="20" t="s">
        <v>146</v>
      </c>
      <c r="D228" s="20" t="s">
        <v>147</v>
      </c>
      <c r="E228" s="20" t="s">
        <v>28</v>
      </c>
      <c r="F228" s="20" t="s">
        <v>61</v>
      </c>
      <c r="G228" s="20">
        <v>18.0</v>
      </c>
      <c r="H228" s="20">
        <v>16.5</v>
      </c>
      <c r="I228" s="21">
        <v>297.0</v>
      </c>
    </row>
    <row r="229" ht="20.25" customHeight="1">
      <c r="A229" s="20">
        <v>2026.0</v>
      </c>
      <c r="B229" s="20">
        <v>5.0</v>
      </c>
      <c r="C229" s="20" t="s">
        <v>146</v>
      </c>
      <c r="D229" s="20" t="s">
        <v>147</v>
      </c>
      <c r="E229" s="20" t="s">
        <v>28</v>
      </c>
      <c r="F229" s="20" t="s">
        <v>61</v>
      </c>
      <c r="G229" s="20">
        <v>15.0</v>
      </c>
      <c r="H229" s="20">
        <v>16.5</v>
      </c>
      <c r="I229" s="21">
        <v>247.5</v>
      </c>
    </row>
    <row r="230" ht="20.25" customHeight="1">
      <c r="A230" s="20">
        <v>2026.0</v>
      </c>
      <c r="B230" s="20">
        <v>6.0</v>
      </c>
      <c r="C230" s="20" t="s">
        <v>146</v>
      </c>
      <c r="D230" s="20" t="s">
        <v>147</v>
      </c>
      <c r="E230" s="20" t="s">
        <v>28</v>
      </c>
      <c r="F230" s="20" t="s">
        <v>61</v>
      </c>
      <c r="G230" s="20">
        <v>16.5</v>
      </c>
      <c r="H230" s="62">
        <v>16.5</v>
      </c>
      <c r="I230" s="21">
        <v>272.25</v>
      </c>
    </row>
    <row r="231" ht="20.25" customHeight="1">
      <c r="A231" s="20">
        <v>2026.0</v>
      </c>
      <c r="B231" s="20">
        <v>4.0</v>
      </c>
      <c r="C231" s="20" t="s">
        <v>148</v>
      </c>
      <c r="D231" s="20" t="s">
        <v>25</v>
      </c>
      <c r="E231" s="20" t="s">
        <v>25</v>
      </c>
      <c r="F231" s="20" t="s">
        <v>61</v>
      </c>
      <c r="G231" s="20">
        <v>18.0</v>
      </c>
      <c r="H231" s="20">
        <v>13.7</v>
      </c>
      <c r="I231" s="21">
        <v>246.6</v>
      </c>
    </row>
    <row r="232" ht="20.25" customHeight="1">
      <c r="A232" s="20">
        <v>2026.0</v>
      </c>
      <c r="B232" s="20">
        <v>4.0</v>
      </c>
      <c r="C232" s="20" t="s">
        <v>148</v>
      </c>
      <c r="D232" s="20" t="s">
        <v>25</v>
      </c>
      <c r="E232" s="20" t="s">
        <v>28</v>
      </c>
      <c r="F232" s="20" t="s">
        <v>61</v>
      </c>
      <c r="G232" s="20">
        <v>18.0</v>
      </c>
      <c r="H232" s="20">
        <v>3.4</v>
      </c>
      <c r="I232" s="21">
        <v>61.2</v>
      </c>
    </row>
    <row r="233" ht="20.25" customHeight="1">
      <c r="A233" s="20">
        <v>2026.0</v>
      </c>
      <c r="B233" s="20">
        <v>5.0</v>
      </c>
      <c r="C233" s="20" t="s">
        <v>148</v>
      </c>
      <c r="D233" s="20" t="s">
        <v>25</v>
      </c>
      <c r="E233" s="20" t="s">
        <v>25</v>
      </c>
      <c r="F233" s="20" t="s">
        <v>61</v>
      </c>
      <c r="G233" s="20">
        <v>16.0</v>
      </c>
      <c r="H233" s="20">
        <v>13.7</v>
      </c>
      <c r="I233" s="21">
        <v>219.2</v>
      </c>
    </row>
    <row r="234" ht="20.25" customHeight="1">
      <c r="A234" s="20">
        <v>2026.0</v>
      </c>
      <c r="B234" s="20">
        <v>5.0</v>
      </c>
      <c r="C234" s="20" t="s">
        <v>148</v>
      </c>
      <c r="D234" s="20" t="s">
        <v>25</v>
      </c>
      <c r="E234" s="20" t="s">
        <v>28</v>
      </c>
      <c r="F234" s="20" t="s">
        <v>61</v>
      </c>
      <c r="G234" s="20">
        <v>16.0</v>
      </c>
      <c r="H234" s="20">
        <v>3.4</v>
      </c>
      <c r="I234" s="21">
        <v>54.4</v>
      </c>
    </row>
    <row r="235" ht="20.25" customHeight="1">
      <c r="A235" s="20">
        <v>2026.0</v>
      </c>
      <c r="B235" s="20">
        <v>6.0</v>
      </c>
      <c r="C235" s="20" t="s">
        <v>148</v>
      </c>
      <c r="D235" s="20" t="s">
        <v>25</v>
      </c>
      <c r="E235" s="20" t="s">
        <v>25</v>
      </c>
      <c r="F235" s="20" t="s">
        <v>61</v>
      </c>
      <c r="G235" s="20">
        <v>21.0</v>
      </c>
      <c r="H235" s="20">
        <v>13.7</v>
      </c>
      <c r="I235" s="21">
        <v>287.7</v>
      </c>
    </row>
    <row r="236" ht="20.25" customHeight="1">
      <c r="A236" s="20">
        <v>2026.0</v>
      </c>
      <c r="B236" s="20">
        <v>6.0</v>
      </c>
      <c r="C236" s="20" t="s">
        <v>148</v>
      </c>
      <c r="D236" s="20" t="s">
        <v>25</v>
      </c>
      <c r="E236" s="20" t="s">
        <v>28</v>
      </c>
      <c r="F236" s="20" t="s">
        <v>61</v>
      </c>
      <c r="G236" s="20">
        <v>21.0</v>
      </c>
      <c r="H236" s="20">
        <v>3.4</v>
      </c>
      <c r="I236" s="21">
        <v>71.4</v>
      </c>
    </row>
    <row r="237" ht="20.25" customHeight="1">
      <c r="A237" s="20">
        <v>2026.0</v>
      </c>
      <c r="B237" s="20">
        <v>4.0</v>
      </c>
      <c r="C237" s="20" t="s">
        <v>149</v>
      </c>
      <c r="D237" s="20" t="s">
        <v>150</v>
      </c>
      <c r="E237" s="20" t="s">
        <v>25</v>
      </c>
      <c r="F237" s="20" t="s">
        <v>61</v>
      </c>
      <c r="G237" s="20">
        <v>19.5</v>
      </c>
      <c r="H237" s="20">
        <v>3.1</v>
      </c>
      <c r="I237" s="21">
        <v>60.45</v>
      </c>
    </row>
    <row r="238" ht="20.25" customHeight="1">
      <c r="A238" s="20">
        <v>2026.0</v>
      </c>
      <c r="B238" s="20">
        <v>4.0</v>
      </c>
      <c r="C238" s="20" t="s">
        <v>149</v>
      </c>
      <c r="D238" s="20" t="s">
        <v>150</v>
      </c>
      <c r="E238" s="20" t="s">
        <v>28</v>
      </c>
      <c r="F238" s="20" t="s">
        <v>61</v>
      </c>
      <c r="G238" s="20">
        <v>19.5</v>
      </c>
      <c r="H238" s="20">
        <v>3.1</v>
      </c>
      <c r="I238" s="21">
        <v>60.45</v>
      </c>
    </row>
    <row r="239" ht="20.25" customHeight="1">
      <c r="A239" s="20">
        <v>2026.0</v>
      </c>
      <c r="B239" s="20">
        <v>5.0</v>
      </c>
      <c r="C239" s="20" t="s">
        <v>149</v>
      </c>
      <c r="D239" s="20" t="s">
        <v>150</v>
      </c>
      <c r="E239" s="20" t="s">
        <v>25</v>
      </c>
      <c r="F239" s="20" t="s">
        <v>61</v>
      </c>
      <c r="G239" s="20">
        <v>16.11</v>
      </c>
      <c r="H239" s="20">
        <v>3.1</v>
      </c>
      <c r="I239" s="21">
        <v>49.94</v>
      </c>
    </row>
    <row r="240" ht="20.25" customHeight="1">
      <c r="A240" s="20">
        <v>2026.0</v>
      </c>
      <c r="B240" s="20">
        <v>5.0</v>
      </c>
      <c r="C240" s="20" t="s">
        <v>149</v>
      </c>
      <c r="D240" s="20" t="s">
        <v>150</v>
      </c>
      <c r="E240" s="20" t="s">
        <v>28</v>
      </c>
      <c r="F240" s="20" t="s">
        <v>61</v>
      </c>
      <c r="G240" s="20">
        <v>16.11</v>
      </c>
      <c r="H240" s="20">
        <v>3.1</v>
      </c>
      <c r="I240" s="21">
        <v>49.94</v>
      </c>
    </row>
    <row r="241" ht="20.25" customHeight="1">
      <c r="A241" s="20">
        <v>2026.0</v>
      </c>
      <c r="B241" s="20">
        <v>4.0</v>
      </c>
      <c r="C241" s="20" t="s">
        <v>151</v>
      </c>
      <c r="D241" s="20" t="s">
        <v>152</v>
      </c>
      <c r="E241" s="20" t="s">
        <v>17</v>
      </c>
      <c r="F241" s="20" t="s">
        <v>61</v>
      </c>
      <c r="G241" s="20">
        <v>21.0</v>
      </c>
      <c r="H241" s="20">
        <v>4.5</v>
      </c>
      <c r="I241" s="21">
        <v>94.5</v>
      </c>
    </row>
    <row r="242" ht="20.25" customHeight="1">
      <c r="A242" s="20">
        <v>2026.0</v>
      </c>
      <c r="B242" s="20">
        <v>5.0</v>
      </c>
      <c r="C242" s="20" t="s">
        <v>151</v>
      </c>
      <c r="D242" s="20" t="s">
        <v>152</v>
      </c>
      <c r="E242" s="20" t="s">
        <v>17</v>
      </c>
      <c r="F242" s="20" t="s">
        <v>61</v>
      </c>
      <c r="G242" s="20">
        <v>11.0</v>
      </c>
      <c r="H242" s="20">
        <v>4.5</v>
      </c>
      <c r="I242" s="21">
        <v>49.5</v>
      </c>
    </row>
    <row r="243" ht="20.25" customHeight="1">
      <c r="A243" s="20">
        <v>2026.0</v>
      </c>
      <c r="B243" s="20">
        <v>6.0</v>
      </c>
      <c r="C243" s="20" t="s">
        <v>151</v>
      </c>
      <c r="D243" s="20" t="s">
        <v>152</v>
      </c>
      <c r="E243" s="20" t="s">
        <v>17</v>
      </c>
      <c r="F243" s="20" t="s">
        <v>61</v>
      </c>
      <c r="G243" s="20">
        <v>18.0</v>
      </c>
      <c r="H243" s="20">
        <v>4.5</v>
      </c>
      <c r="I243" s="21">
        <v>81.0</v>
      </c>
    </row>
    <row r="244" ht="20.25" customHeight="1">
      <c r="A244" s="20">
        <v>2026.0</v>
      </c>
      <c r="B244" s="20">
        <v>6.0</v>
      </c>
      <c r="C244" s="20" t="s">
        <v>62</v>
      </c>
      <c r="D244" s="20" t="s">
        <v>215</v>
      </c>
      <c r="E244" s="20" t="s">
        <v>15</v>
      </c>
      <c r="F244" s="20" t="s">
        <v>61</v>
      </c>
      <c r="G244" s="20">
        <v>9.5</v>
      </c>
      <c r="H244" s="20">
        <v>14.5</v>
      </c>
      <c r="I244" s="21">
        <v>137.75</v>
      </c>
    </row>
    <row r="245" ht="20.25" customHeight="1">
      <c r="A245" s="20">
        <v>2026.0</v>
      </c>
      <c r="B245" s="20">
        <v>4.0</v>
      </c>
      <c r="C245" s="20" t="s">
        <v>62</v>
      </c>
      <c r="D245" s="20" t="s">
        <v>216</v>
      </c>
      <c r="E245" s="20" t="s">
        <v>15</v>
      </c>
      <c r="F245" s="20" t="s">
        <v>61</v>
      </c>
      <c r="G245" s="20">
        <v>21.0</v>
      </c>
      <c r="H245" s="20">
        <v>48.4</v>
      </c>
      <c r="I245" s="21">
        <v>1016.4</v>
      </c>
    </row>
    <row r="246" ht="20.25" customHeight="1">
      <c r="A246" s="20">
        <v>2026.0</v>
      </c>
      <c r="B246" s="20">
        <v>5.0</v>
      </c>
      <c r="C246" s="20" t="s">
        <v>62</v>
      </c>
      <c r="D246" s="20" t="s">
        <v>216</v>
      </c>
      <c r="E246" s="20" t="s">
        <v>15</v>
      </c>
      <c r="F246" s="20" t="s">
        <v>61</v>
      </c>
      <c r="G246" s="20">
        <v>18.0</v>
      </c>
      <c r="H246" s="20">
        <v>48.4</v>
      </c>
      <c r="I246" s="21">
        <v>871.2</v>
      </c>
    </row>
    <row r="247" ht="20.25" customHeight="1">
      <c r="A247" s="20">
        <v>2026.0</v>
      </c>
      <c r="B247" s="20">
        <v>6.0</v>
      </c>
      <c r="C247" s="20" t="s">
        <v>62</v>
      </c>
      <c r="D247" s="20" t="s">
        <v>216</v>
      </c>
      <c r="E247" s="20" t="s">
        <v>15</v>
      </c>
      <c r="F247" s="20" t="s">
        <v>61</v>
      </c>
      <c r="G247" s="20">
        <v>5.0</v>
      </c>
      <c r="H247" s="20">
        <v>48.4</v>
      </c>
      <c r="I247" s="21">
        <v>242.0</v>
      </c>
    </row>
    <row r="248" ht="20.25" customHeight="1">
      <c r="A248" s="20">
        <v>2026.0</v>
      </c>
      <c r="B248" s="20">
        <v>4.0</v>
      </c>
      <c r="C248" s="20" t="s">
        <v>157</v>
      </c>
      <c r="D248" s="20" t="s">
        <v>158</v>
      </c>
      <c r="E248" s="20" t="s">
        <v>28</v>
      </c>
      <c r="F248" s="20" t="s">
        <v>61</v>
      </c>
      <c r="G248" s="20">
        <v>20.0</v>
      </c>
      <c r="H248" s="20">
        <v>4.8</v>
      </c>
      <c r="I248" s="21">
        <v>96.0</v>
      </c>
    </row>
    <row r="249" ht="20.25" customHeight="1">
      <c r="A249" s="20">
        <v>2026.0</v>
      </c>
      <c r="B249" s="20">
        <v>5.0</v>
      </c>
      <c r="C249" s="20" t="s">
        <v>157</v>
      </c>
      <c r="D249" s="20" t="s">
        <v>158</v>
      </c>
      <c r="E249" s="20" t="s">
        <v>28</v>
      </c>
      <c r="F249" s="20" t="s">
        <v>61</v>
      </c>
      <c r="G249" s="20">
        <v>16.0</v>
      </c>
      <c r="H249" s="20">
        <v>4.8</v>
      </c>
      <c r="I249" s="21">
        <v>76.8</v>
      </c>
    </row>
    <row r="250" ht="20.25" customHeight="1">
      <c r="A250" s="20">
        <v>2026.0</v>
      </c>
      <c r="B250" s="20">
        <v>6.0</v>
      </c>
      <c r="C250" s="20" t="s">
        <v>157</v>
      </c>
      <c r="D250" s="20" t="s">
        <v>158</v>
      </c>
      <c r="E250" s="20" t="s">
        <v>28</v>
      </c>
      <c r="F250" s="20" t="s">
        <v>61</v>
      </c>
      <c r="G250" s="20">
        <v>22.0</v>
      </c>
      <c r="H250" s="20">
        <v>4.8</v>
      </c>
      <c r="I250" s="21">
        <v>105.6</v>
      </c>
    </row>
    <row r="251" ht="20.25" customHeight="1">
      <c r="A251" s="20">
        <v>2026.0</v>
      </c>
      <c r="B251" s="20">
        <v>4.0</v>
      </c>
      <c r="C251" s="20" t="s">
        <v>160</v>
      </c>
      <c r="D251" s="20" t="s">
        <v>26</v>
      </c>
      <c r="E251" s="20" t="s">
        <v>35</v>
      </c>
      <c r="F251" s="20" t="s">
        <v>61</v>
      </c>
      <c r="G251" s="20">
        <v>19.0</v>
      </c>
      <c r="H251" s="20">
        <v>18.7</v>
      </c>
      <c r="I251" s="21">
        <v>355.3</v>
      </c>
    </row>
    <row r="252" ht="20.25" customHeight="1">
      <c r="A252" s="20">
        <v>2026.0</v>
      </c>
      <c r="B252" s="20">
        <v>5.0</v>
      </c>
      <c r="C252" s="20" t="s">
        <v>160</v>
      </c>
      <c r="D252" s="20" t="s">
        <v>26</v>
      </c>
      <c r="E252" s="20" t="s">
        <v>35</v>
      </c>
      <c r="F252" s="20" t="s">
        <v>61</v>
      </c>
      <c r="G252" s="20">
        <v>9.0</v>
      </c>
      <c r="H252" s="20">
        <v>18.7</v>
      </c>
      <c r="I252" s="21">
        <v>168.3</v>
      </c>
    </row>
    <row r="253" ht="20.25" customHeight="1">
      <c r="A253" s="20">
        <v>2026.0</v>
      </c>
      <c r="B253" s="20">
        <v>6.0</v>
      </c>
      <c r="C253" s="20" t="s">
        <v>160</v>
      </c>
      <c r="D253" s="20" t="s">
        <v>26</v>
      </c>
      <c r="E253" s="20" t="s">
        <v>35</v>
      </c>
      <c r="F253" s="20" t="s">
        <v>61</v>
      </c>
      <c r="G253" s="20">
        <v>19.0</v>
      </c>
      <c r="H253" s="20">
        <v>18.7</v>
      </c>
      <c r="I253" s="21">
        <v>355.3</v>
      </c>
    </row>
    <row r="254" ht="20.25" customHeight="1">
      <c r="A254" s="20">
        <v>2026.0</v>
      </c>
      <c r="B254" s="20">
        <v>4.0</v>
      </c>
      <c r="C254" s="20" t="s">
        <v>163</v>
      </c>
      <c r="D254" s="20" t="s">
        <v>164</v>
      </c>
      <c r="E254" s="20" t="s">
        <v>28</v>
      </c>
      <c r="F254" s="20" t="s">
        <v>61</v>
      </c>
      <c r="G254" s="20">
        <v>14.0</v>
      </c>
      <c r="H254" s="20">
        <v>18.0</v>
      </c>
      <c r="I254" s="21">
        <v>252.0</v>
      </c>
    </row>
    <row r="255" ht="20.25" customHeight="1">
      <c r="A255" s="20">
        <v>2026.0</v>
      </c>
      <c r="B255" s="20">
        <v>5.0</v>
      </c>
      <c r="C255" s="20" t="s">
        <v>163</v>
      </c>
      <c r="D255" s="20" t="s">
        <v>164</v>
      </c>
      <c r="E255" s="20" t="s">
        <v>28</v>
      </c>
      <c r="F255" s="20" t="s">
        <v>61</v>
      </c>
      <c r="G255" s="20">
        <v>17.0</v>
      </c>
      <c r="H255" s="20">
        <v>18.0</v>
      </c>
      <c r="I255" s="21">
        <v>306.0</v>
      </c>
    </row>
    <row r="256" ht="20.25" customHeight="1">
      <c r="A256" s="20">
        <v>2026.0</v>
      </c>
      <c r="B256" s="20">
        <v>6.0</v>
      </c>
      <c r="C256" s="20" t="s">
        <v>163</v>
      </c>
      <c r="D256" s="20" t="s">
        <v>164</v>
      </c>
      <c r="E256" s="20" t="s">
        <v>28</v>
      </c>
      <c r="F256" s="20" t="s">
        <v>61</v>
      </c>
      <c r="G256" s="20">
        <v>21.0</v>
      </c>
      <c r="H256" s="20">
        <v>18.0</v>
      </c>
      <c r="I256" s="21">
        <v>378.0</v>
      </c>
    </row>
    <row r="257" ht="20.25" customHeight="1">
      <c r="A257" s="20">
        <v>2026.0</v>
      </c>
      <c r="B257" s="20">
        <v>4.0</v>
      </c>
      <c r="C257" s="20" t="s">
        <v>165</v>
      </c>
      <c r="D257" s="20" t="s">
        <v>166</v>
      </c>
      <c r="E257" s="20" t="s">
        <v>23</v>
      </c>
      <c r="F257" s="20" t="s">
        <v>61</v>
      </c>
      <c r="G257" s="20">
        <v>3.0</v>
      </c>
      <c r="H257" s="20">
        <v>9.0</v>
      </c>
      <c r="I257" s="21">
        <v>27.0</v>
      </c>
    </row>
    <row r="258" ht="20.25" customHeight="1">
      <c r="A258" s="20">
        <v>2026.0</v>
      </c>
      <c r="B258" s="20">
        <v>4.0</v>
      </c>
      <c r="C258" s="20" t="s">
        <v>165</v>
      </c>
      <c r="D258" s="20" t="s">
        <v>166</v>
      </c>
      <c r="E258" s="20" t="s">
        <v>23</v>
      </c>
      <c r="F258" s="20" t="s">
        <v>61</v>
      </c>
      <c r="G258" s="20">
        <v>21.5</v>
      </c>
      <c r="H258" s="20">
        <v>9.0</v>
      </c>
      <c r="I258" s="21">
        <v>193.5</v>
      </c>
    </row>
    <row r="259" ht="20.25" customHeight="1">
      <c r="A259" s="20">
        <v>2026.0</v>
      </c>
      <c r="B259" s="20">
        <v>4.0</v>
      </c>
      <c r="C259" s="20" t="s">
        <v>165</v>
      </c>
      <c r="D259" s="20" t="s">
        <v>166</v>
      </c>
      <c r="E259" s="20" t="s">
        <v>34</v>
      </c>
      <c r="F259" s="20" t="s">
        <v>61</v>
      </c>
      <c r="G259" s="20">
        <v>3.0</v>
      </c>
      <c r="H259" s="20">
        <v>5.0</v>
      </c>
      <c r="I259" s="21">
        <v>15.0</v>
      </c>
    </row>
    <row r="260" ht="20.25" customHeight="1">
      <c r="A260" s="20">
        <v>2026.0</v>
      </c>
      <c r="B260" s="20">
        <v>4.0</v>
      </c>
      <c r="C260" s="20" t="s">
        <v>165</v>
      </c>
      <c r="D260" s="20" t="s">
        <v>166</v>
      </c>
      <c r="E260" s="20" t="s">
        <v>34</v>
      </c>
      <c r="F260" s="20" t="s">
        <v>61</v>
      </c>
      <c r="G260" s="20">
        <v>21.5</v>
      </c>
      <c r="H260" s="20">
        <v>5.0</v>
      </c>
      <c r="I260" s="21">
        <v>107.5</v>
      </c>
    </row>
    <row r="261" ht="20.25" customHeight="1">
      <c r="A261" s="20">
        <v>2026.0</v>
      </c>
      <c r="B261" s="20">
        <v>4.0</v>
      </c>
      <c r="C261" s="20" t="s">
        <v>165</v>
      </c>
      <c r="D261" s="20" t="s">
        <v>166</v>
      </c>
      <c r="E261" s="20" t="s">
        <v>34</v>
      </c>
      <c r="F261" s="20" t="s">
        <v>61</v>
      </c>
      <c r="G261" s="20">
        <v>3.0</v>
      </c>
      <c r="H261" s="20">
        <v>14.0</v>
      </c>
      <c r="I261" s="21">
        <v>42.0</v>
      </c>
    </row>
    <row r="262" ht="20.25" customHeight="1">
      <c r="A262" s="20">
        <v>2026.0</v>
      </c>
      <c r="B262" s="20">
        <v>4.0</v>
      </c>
      <c r="C262" s="20" t="s">
        <v>165</v>
      </c>
      <c r="D262" s="20" t="s">
        <v>166</v>
      </c>
      <c r="E262" s="20" t="s">
        <v>34</v>
      </c>
      <c r="F262" s="20" t="s">
        <v>61</v>
      </c>
      <c r="G262" s="20">
        <v>21.5</v>
      </c>
      <c r="H262" s="20">
        <v>14.0</v>
      </c>
      <c r="I262" s="21">
        <v>301.0</v>
      </c>
    </row>
    <row r="263" ht="20.25" customHeight="1">
      <c r="A263" s="20">
        <v>2026.0</v>
      </c>
      <c r="B263" s="20">
        <v>6.0</v>
      </c>
      <c r="C263" s="20" t="s">
        <v>62</v>
      </c>
      <c r="D263" s="20" t="s">
        <v>216</v>
      </c>
      <c r="E263" s="20" t="s">
        <v>15</v>
      </c>
      <c r="F263" s="20" t="s">
        <v>61</v>
      </c>
      <c r="G263" s="20">
        <v>10.0</v>
      </c>
      <c r="H263" s="20">
        <v>48.4</v>
      </c>
      <c r="I263" s="21">
        <v>484.0</v>
      </c>
    </row>
    <row r="264" ht="20.25" customHeight="1">
      <c r="A264" s="20">
        <v>2026.0</v>
      </c>
      <c r="B264" s="20">
        <v>4.0</v>
      </c>
      <c r="C264" s="20" t="s">
        <v>167</v>
      </c>
      <c r="D264" s="20" t="s">
        <v>168</v>
      </c>
      <c r="E264" s="20" t="s">
        <v>43</v>
      </c>
      <c r="F264" s="20" t="s">
        <v>61</v>
      </c>
      <c r="G264" s="20">
        <v>15.0</v>
      </c>
      <c r="H264" s="20">
        <v>6.1</v>
      </c>
      <c r="I264" s="21">
        <v>91.5</v>
      </c>
    </row>
    <row r="265" ht="20.25" customHeight="1">
      <c r="A265" s="20">
        <v>2026.0</v>
      </c>
      <c r="B265" s="20">
        <v>4.0</v>
      </c>
      <c r="C265" s="20" t="s">
        <v>62</v>
      </c>
      <c r="D265" s="20" t="s">
        <v>251</v>
      </c>
      <c r="E265" s="20" t="s">
        <v>15</v>
      </c>
      <c r="F265" s="20" t="s">
        <v>61</v>
      </c>
      <c r="G265" s="20">
        <v>20.0</v>
      </c>
      <c r="H265" s="20">
        <v>38.2</v>
      </c>
      <c r="I265" s="21">
        <v>764.0</v>
      </c>
    </row>
    <row r="266" ht="20.25" customHeight="1">
      <c r="A266" s="20">
        <v>2026.0</v>
      </c>
      <c r="B266" s="20">
        <v>5.0</v>
      </c>
      <c r="C266" s="20" t="s">
        <v>167</v>
      </c>
      <c r="D266" s="20" t="s">
        <v>168</v>
      </c>
      <c r="E266" s="20" t="s">
        <v>43</v>
      </c>
      <c r="F266" s="20" t="s">
        <v>61</v>
      </c>
      <c r="G266" s="20">
        <v>16.0</v>
      </c>
      <c r="H266" s="20">
        <v>6.1</v>
      </c>
      <c r="I266" s="21">
        <v>97.6</v>
      </c>
    </row>
    <row r="267" ht="20.25" customHeight="1">
      <c r="A267" s="20">
        <v>2026.0</v>
      </c>
      <c r="B267" s="20">
        <v>5.0</v>
      </c>
      <c r="C267" s="20" t="s">
        <v>62</v>
      </c>
      <c r="D267" s="20" t="s">
        <v>251</v>
      </c>
      <c r="E267" s="20" t="s">
        <v>15</v>
      </c>
      <c r="F267" s="20" t="s">
        <v>61</v>
      </c>
      <c r="G267" s="20">
        <v>18.0</v>
      </c>
      <c r="H267" s="20">
        <v>38.2</v>
      </c>
      <c r="I267" s="21">
        <v>687.6</v>
      </c>
    </row>
    <row r="268" ht="20.25" customHeight="1">
      <c r="A268" s="20">
        <v>2026.0</v>
      </c>
      <c r="B268" s="20">
        <v>6.0</v>
      </c>
      <c r="C268" s="20" t="s">
        <v>62</v>
      </c>
      <c r="D268" s="20" t="s">
        <v>251</v>
      </c>
      <c r="E268" s="20" t="s">
        <v>15</v>
      </c>
      <c r="F268" s="20" t="s">
        <v>61</v>
      </c>
      <c r="G268" s="20">
        <v>15.0</v>
      </c>
      <c r="H268" s="20">
        <v>38.2</v>
      </c>
      <c r="I268" s="21">
        <v>573.0</v>
      </c>
    </row>
    <row r="269" ht="20.25" customHeight="1">
      <c r="A269" s="20">
        <v>2026.0</v>
      </c>
      <c r="B269" s="20">
        <v>6.0</v>
      </c>
      <c r="C269" s="20" t="s">
        <v>167</v>
      </c>
      <c r="D269" s="20" t="s">
        <v>168</v>
      </c>
      <c r="E269" s="20" t="s">
        <v>43</v>
      </c>
      <c r="F269" s="20" t="s">
        <v>61</v>
      </c>
      <c r="G269" s="20">
        <v>1.5</v>
      </c>
      <c r="H269" s="20">
        <v>6.1</v>
      </c>
      <c r="I269" s="21">
        <v>9.15</v>
      </c>
    </row>
    <row r="270" ht="20.25" customHeight="1">
      <c r="A270" s="20">
        <v>2026.0</v>
      </c>
      <c r="B270" s="20">
        <v>6.0</v>
      </c>
      <c r="C270" s="20" t="s">
        <v>167</v>
      </c>
      <c r="D270" s="20" t="s">
        <v>168</v>
      </c>
      <c r="E270" s="20" t="s">
        <v>43</v>
      </c>
      <c r="F270" s="20" t="s">
        <v>61</v>
      </c>
      <c r="G270" s="20">
        <v>18.5</v>
      </c>
      <c r="H270" s="20">
        <v>6.1</v>
      </c>
      <c r="I270" s="21">
        <v>112.85</v>
      </c>
    </row>
    <row r="271" ht="20.25" customHeight="1">
      <c r="A271" s="20">
        <v>2026.0</v>
      </c>
      <c r="B271" s="20">
        <v>4.0</v>
      </c>
      <c r="C271" s="20" t="s">
        <v>141</v>
      </c>
      <c r="D271" s="20" t="s">
        <v>142</v>
      </c>
      <c r="E271" s="20" t="s">
        <v>15</v>
      </c>
      <c r="F271" s="20" t="s">
        <v>61</v>
      </c>
      <c r="G271" s="20">
        <v>21.0</v>
      </c>
      <c r="H271" s="20">
        <v>17.7</v>
      </c>
      <c r="I271" s="21">
        <v>371.7</v>
      </c>
    </row>
    <row r="272" ht="20.25" customHeight="1">
      <c r="A272" s="20">
        <v>2026.0</v>
      </c>
      <c r="B272" s="20">
        <v>5.0</v>
      </c>
      <c r="C272" s="20" t="s">
        <v>141</v>
      </c>
      <c r="D272" s="20" t="s">
        <v>142</v>
      </c>
      <c r="E272" s="20" t="s">
        <v>15</v>
      </c>
      <c r="F272" s="20" t="s">
        <v>61</v>
      </c>
      <c r="G272" s="20">
        <v>15.0</v>
      </c>
      <c r="H272" s="20">
        <v>17.7</v>
      </c>
      <c r="I272" s="21">
        <v>265.5</v>
      </c>
    </row>
    <row r="273" ht="20.25" customHeight="1">
      <c r="A273" s="20">
        <v>2026.0</v>
      </c>
      <c r="B273" s="20">
        <v>6.0</v>
      </c>
      <c r="C273" s="20" t="s">
        <v>141</v>
      </c>
      <c r="D273" s="20" t="s">
        <v>142</v>
      </c>
      <c r="E273" s="20" t="s">
        <v>15</v>
      </c>
      <c r="F273" s="20" t="s">
        <v>61</v>
      </c>
      <c r="G273" s="20">
        <v>8.0</v>
      </c>
      <c r="H273" s="20">
        <v>17.7</v>
      </c>
      <c r="I273" s="21">
        <v>141.6</v>
      </c>
    </row>
    <row r="274" ht="20.25" customHeight="1">
      <c r="A274" s="20">
        <v>2026.0</v>
      </c>
      <c r="B274" s="20">
        <v>6.0</v>
      </c>
      <c r="C274" s="20" t="s">
        <v>141</v>
      </c>
      <c r="D274" s="20" t="s">
        <v>142</v>
      </c>
      <c r="E274" s="20" t="s">
        <v>15</v>
      </c>
      <c r="F274" s="20" t="s">
        <v>61</v>
      </c>
      <c r="G274" s="20">
        <v>14.0</v>
      </c>
      <c r="H274" s="20">
        <v>17.7</v>
      </c>
      <c r="I274" s="21">
        <v>247.8</v>
      </c>
    </row>
    <row r="275" ht="20.25" customHeight="1">
      <c r="A275" s="20">
        <v>2026.0</v>
      </c>
      <c r="B275" s="20">
        <v>4.0</v>
      </c>
      <c r="C275" s="20" t="s">
        <v>102</v>
      </c>
      <c r="D275" s="20" t="s">
        <v>103</v>
      </c>
      <c r="E275" s="20" t="s">
        <v>26</v>
      </c>
      <c r="F275" s="20" t="s">
        <v>61</v>
      </c>
      <c r="G275" s="20">
        <v>21.0</v>
      </c>
      <c r="H275" s="20">
        <v>20.0</v>
      </c>
      <c r="I275" s="21">
        <v>420.0</v>
      </c>
    </row>
    <row r="276" ht="20.25" customHeight="1">
      <c r="A276" s="20">
        <v>2026.0</v>
      </c>
      <c r="B276" s="20">
        <v>5.0</v>
      </c>
      <c r="C276" s="20" t="s">
        <v>102</v>
      </c>
      <c r="D276" s="20" t="s">
        <v>103</v>
      </c>
      <c r="E276" s="20" t="s">
        <v>26</v>
      </c>
      <c r="F276" s="20" t="s">
        <v>61</v>
      </c>
      <c r="G276" s="20">
        <v>16.0</v>
      </c>
      <c r="H276" s="20">
        <v>20.0</v>
      </c>
      <c r="I276" s="21">
        <v>320.0</v>
      </c>
    </row>
    <row r="277" ht="20.25" customHeight="1">
      <c r="A277" s="20">
        <v>2026.0</v>
      </c>
      <c r="B277" s="20">
        <v>6.0</v>
      </c>
      <c r="C277" s="20" t="s">
        <v>102</v>
      </c>
      <c r="D277" s="20" t="s">
        <v>103</v>
      </c>
      <c r="E277" s="20" t="s">
        <v>26</v>
      </c>
      <c r="F277" s="20" t="s">
        <v>61</v>
      </c>
      <c r="G277" s="20">
        <v>21.0</v>
      </c>
      <c r="H277" s="20">
        <v>20.0</v>
      </c>
      <c r="I277" s="21">
        <v>420.0</v>
      </c>
    </row>
    <row r="278" ht="20.25" customHeight="1">
      <c r="A278" s="20">
        <v>2026.0</v>
      </c>
      <c r="B278" s="20">
        <v>4.0</v>
      </c>
      <c r="C278" s="20" t="s">
        <v>169</v>
      </c>
      <c r="D278" s="20" t="s">
        <v>170</v>
      </c>
      <c r="E278" s="20" t="s">
        <v>26</v>
      </c>
      <c r="F278" s="20" t="s">
        <v>61</v>
      </c>
      <c r="G278" s="20">
        <v>20.0</v>
      </c>
      <c r="H278" s="20">
        <v>11.2</v>
      </c>
      <c r="I278" s="21">
        <v>224.0</v>
      </c>
    </row>
    <row r="279" ht="20.25" customHeight="1">
      <c r="A279" s="20">
        <v>2026.0</v>
      </c>
      <c r="B279" s="20">
        <v>4.0</v>
      </c>
      <c r="C279" s="20" t="s">
        <v>169</v>
      </c>
      <c r="D279" s="20" t="s">
        <v>170</v>
      </c>
      <c r="E279" s="20" t="s">
        <v>38</v>
      </c>
      <c r="F279" s="20" t="s">
        <v>61</v>
      </c>
      <c r="G279" s="20">
        <v>20.0</v>
      </c>
      <c r="H279" s="20">
        <v>6.1</v>
      </c>
      <c r="I279" s="21">
        <v>122.0</v>
      </c>
    </row>
    <row r="280" ht="20.25" customHeight="1">
      <c r="A280" s="20">
        <v>2026.0</v>
      </c>
      <c r="B280" s="20">
        <v>5.0</v>
      </c>
      <c r="C280" s="20" t="s">
        <v>169</v>
      </c>
      <c r="D280" s="20" t="s">
        <v>170</v>
      </c>
      <c r="E280" s="20" t="s">
        <v>26</v>
      </c>
      <c r="F280" s="20" t="s">
        <v>61</v>
      </c>
      <c r="G280" s="20">
        <v>13.0</v>
      </c>
      <c r="H280" s="20">
        <v>11.2</v>
      </c>
      <c r="I280" s="21">
        <v>145.6</v>
      </c>
    </row>
    <row r="281" ht="20.25" customHeight="1">
      <c r="A281" s="20">
        <v>2026.0</v>
      </c>
      <c r="B281" s="20">
        <v>5.0</v>
      </c>
      <c r="C281" s="20" t="s">
        <v>169</v>
      </c>
      <c r="D281" s="20" t="s">
        <v>170</v>
      </c>
      <c r="E281" s="20" t="s">
        <v>38</v>
      </c>
      <c r="F281" s="20" t="s">
        <v>61</v>
      </c>
      <c r="G281" s="20">
        <v>13.0</v>
      </c>
      <c r="H281" s="20">
        <v>6.1</v>
      </c>
      <c r="I281" s="21">
        <v>79.3</v>
      </c>
    </row>
    <row r="282" ht="20.25" customHeight="1">
      <c r="A282" s="20">
        <v>2026.0</v>
      </c>
      <c r="B282" s="20">
        <v>6.0</v>
      </c>
      <c r="C282" s="20" t="s">
        <v>169</v>
      </c>
      <c r="D282" s="20" t="s">
        <v>170</v>
      </c>
      <c r="E282" s="20" t="s">
        <v>26</v>
      </c>
      <c r="F282" s="20" t="s">
        <v>61</v>
      </c>
      <c r="G282" s="20">
        <v>20.0</v>
      </c>
      <c r="H282" s="20">
        <v>11.2</v>
      </c>
      <c r="I282" s="21">
        <v>224.0</v>
      </c>
    </row>
    <row r="283" ht="20.25" customHeight="1">
      <c r="A283" s="20">
        <v>2026.0</v>
      </c>
      <c r="B283" s="20">
        <v>6.0</v>
      </c>
      <c r="C283" s="20" t="s">
        <v>169</v>
      </c>
      <c r="D283" s="20" t="s">
        <v>170</v>
      </c>
      <c r="E283" s="20" t="s">
        <v>38</v>
      </c>
      <c r="F283" s="20" t="s">
        <v>61</v>
      </c>
      <c r="G283" s="20">
        <v>20.0</v>
      </c>
      <c r="H283" s="20">
        <v>6.1</v>
      </c>
      <c r="I283" s="21">
        <v>122.0</v>
      </c>
    </row>
    <row r="284" ht="20.25" customHeight="1">
      <c r="A284" s="20">
        <v>2026.0</v>
      </c>
      <c r="B284" s="20">
        <v>4.0</v>
      </c>
      <c r="C284" s="20" t="s">
        <v>171</v>
      </c>
      <c r="D284" s="20" t="s">
        <v>28</v>
      </c>
      <c r="E284" s="20" t="s">
        <v>28</v>
      </c>
      <c r="F284" s="20" t="s">
        <v>61</v>
      </c>
      <c r="G284" s="20">
        <v>1.0</v>
      </c>
      <c r="H284" s="20">
        <v>20.0</v>
      </c>
      <c r="I284" s="21">
        <v>20.0</v>
      </c>
    </row>
    <row r="285" ht="20.25" customHeight="1">
      <c r="A285" s="20">
        <v>2026.0</v>
      </c>
      <c r="B285" s="20">
        <v>5.0</v>
      </c>
      <c r="C285" s="20" t="s">
        <v>171</v>
      </c>
      <c r="D285" s="20" t="s">
        <v>28</v>
      </c>
      <c r="E285" s="20" t="s">
        <v>28</v>
      </c>
      <c r="F285" s="20" t="s">
        <v>61</v>
      </c>
      <c r="G285" s="20">
        <v>1.0</v>
      </c>
      <c r="H285" s="20">
        <v>20.0</v>
      </c>
      <c r="I285" s="21">
        <v>20.0</v>
      </c>
    </row>
    <row r="286" ht="20.25" customHeight="1">
      <c r="A286" s="20">
        <v>2026.0</v>
      </c>
      <c r="B286" s="20">
        <v>6.0</v>
      </c>
      <c r="C286" s="20" t="s">
        <v>171</v>
      </c>
      <c r="D286" s="20" t="s">
        <v>28</v>
      </c>
      <c r="E286" s="20" t="s">
        <v>28</v>
      </c>
      <c r="F286" s="20" t="s">
        <v>61</v>
      </c>
      <c r="G286" s="20">
        <v>1.0</v>
      </c>
      <c r="H286" s="20">
        <v>20.0</v>
      </c>
      <c r="I286" s="21">
        <v>20.0</v>
      </c>
    </row>
    <row r="287" ht="20.25" customHeight="1">
      <c r="A287" s="20">
        <v>2026.0</v>
      </c>
      <c r="B287" s="20">
        <v>4.0</v>
      </c>
      <c r="C287" s="20" t="s">
        <v>173</v>
      </c>
      <c r="D287" s="20" t="s">
        <v>174</v>
      </c>
      <c r="E287" s="20" t="s">
        <v>28</v>
      </c>
      <c r="F287" s="20" t="s">
        <v>113</v>
      </c>
      <c r="G287" s="20">
        <v>15.5</v>
      </c>
      <c r="H287" s="20">
        <v>4.0</v>
      </c>
      <c r="I287" s="21">
        <v>62.0</v>
      </c>
    </row>
    <row r="288" ht="20.25" customHeight="1">
      <c r="A288" s="20">
        <v>2026.0</v>
      </c>
      <c r="B288" s="20">
        <v>5.0</v>
      </c>
      <c r="C288" s="20" t="s">
        <v>173</v>
      </c>
      <c r="D288" s="20" t="s">
        <v>174</v>
      </c>
      <c r="E288" s="20" t="s">
        <v>28</v>
      </c>
      <c r="F288" s="20" t="s">
        <v>113</v>
      </c>
      <c r="G288" s="20">
        <v>16.0</v>
      </c>
      <c r="H288" s="20">
        <v>4.0</v>
      </c>
      <c r="I288" s="21">
        <v>64.0</v>
      </c>
    </row>
    <row r="289" ht="20.25" customHeight="1">
      <c r="A289" s="20">
        <v>2026.0</v>
      </c>
      <c r="B289" s="20">
        <v>6.0</v>
      </c>
      <c r="C289" s="20" t="s">
        <v>173</v>
      </c>
      <c r="D289" s="20" t="s">
        <v>174</v>
      </c>
      <c r="E289" s="20" t="s">
        <v>28</v>
      </c>
      <c r="F289" s="20" t="s">
        <v>113</v>
      </c>
      <c r="G289" s="20">
        <v>20.0</v>
      </c>
      <c r="H289" s="20">
        <v>4.0</v>
      </c>
      <c r="I289" s="21">
        <v>80.0</v>
      </c>
    </row>
    <row r="290" ht="20.25" customHeight="1">
      <c r="A290" s="20">
        <v>2026.0</v>
      </c>
      <c r="B290" s="20">
        <v>4.0</v>
      </c>
      <c r="C290" s="20" t="s">
        <v>175</v>
      </c>
      <c r="D290" s="20" t="s">
        <v>176</v>
      </c>
      <c r="E290" s="20" t="s">
        <v>26</v>
      </c>
      <c r="F290" s="20" t="s">
        <v>61</v>
      </c>
      <c r="G290" s="20">
        <v>17.0</v>
      </c>
      <c r="H290" s="20">
        <v>11.0</v>
      </c>
      <c r="I290" s="21">
        <v>187.0</v>
      </c>
    </row>
    <row r="291" ht="20.25" customHeight="1">
      <c r="A291" s="20">
        <v>2026.0</v>
      </c>
      <c r="B291" s="20">
        <v>4.0</v>
      </c>
      <c r="C291" s="20" t="s">
        <v>175</v>
      </c>
      <c r="D291" s="20" t="s">
        <v>176</v>
      </c>
      <c r="E291" s="20" t="s">
        <v>38</v>
      </c>
      <c r="F291" s="20" t="s">
        <v>61</v>
      </c>
      <c r="G291" s="20">
        <v>17.0</v>
      </c>
      <c r="H291" s="20">
        <v>2.3</v>
      </c>
      <c r="I291" s="21">
        <v>39.1</v>
      </c>
    </row>
    <row r="292" ht="20.25" customHeight="1">
      <c r="A292" s="20">
        <v>2026.0</v>
      </c>
      <c r="B292" s="20">
        <v>5.0</v>
      </c>
      <c r="C292" s="20" t="s">
        <v>175</v>
      </c>
      <c r="D292" s="20" t="s">
        <v>176</v>
      </c>
      <c r="E292" s="20" t="s">
        <v>26</v>
      </c>
      <c r="F292" s="20" t="s">
        <v>61</v>
      </c>
      <c r="G292" s="20">
        <v>15.0</v>
      </c>
      <c r="H292" s="20">
        <v>11.0</v>
      </c>
      <c r="I292" s="21">
        <v>165.0</v>
      </c>
    </row>
    <row r="293" ht="20.25" customHeight="1">
      <c r="A293" s="20">
        <v>2026.0</v>
      </c>
      <c r="B293" s="20">
        <v>5.0</v>
      </c>
      <c r="C293" s="20" t="s">
        <v>175</v>
      </c>
      <c r="D293" s="20" t="s">
        <v>176</v>
      </c>
      <c r="E293" s="20" t="s">
        <v>38</v>
      </c>
      <c r="F293" s="20" t="s">
        <v>61</v>
      </c>
      <c r="G293" s="20">
        <v>15.0</v>
      </c>
      <c r="H293" s="20">
        <v>2.3</v>
      </c>
      <c r="I293" s="21">
        <v>34.5</v>
      </c>
    </row>
    <row r="294" ht="20.25" customHeight="1">
      <c r="A294" s="20">
        <v>2026.0</v>
      </c>
      <c r="B294" s="20">
        <v>6.0</v>
      </c>
      <c r="C294" s="20" t="s">
        <v>175</v>
      </c>
      <c r="D294" s="20" t="s">
        <v>176</v>
      </c>
      <c r="E294" s="20" t="s">
        <v>26</v>
      </c>
      <c r="F294" s="20" t="s">
        <v>61</v>
      </c>
      <c r="G294" s="20">
        <v>15.0</v>
      </c>
      <c r="H294" s="20">
        <v>11.0</v>
      </c>
      <c r="I294" s="21">
        <f>G294*H294</f>
        <v>165</v>
      </c>
    </row>
    <row r="295" ht="20.25" customHeight="1">
      <c r="A295" s="20">
        <v>2026.0</v>
      </c>
      <c r="B295" s="20">
        <v>6.0</v>
      </c>
      <c r="C295" s="20" t="s">
        <v>175</v>
      </c>
      <c r="D295" s="20" t="s">
        <v>176</v>
      </c>
      <c r="E295" s="20" t="s">
        <v>38</v>
      </c>
      <c r="F295" s="20" t="s">
        <v>61</v>
      </c>
      <c r="G295" s="20">
        <v>15.0</v>
      </c>
      <c r="H295" s="20">
        <v>2.3</v>
      </c>
      <c r="I295" s="21">
        <v>35.0</v>
      </c>
    </row>
    <row r="296" ht="20.25" customHeight="1">
      <c r="A296" s="20">
        <v>2026.0</v>
      </c>
      <c r="B296" s="20">
        <v>4.0</v>
      </c>
      <c r="C296" s="20" t="s">
        <v>177</v>
      </c>
      <c r="D296" s="20" t="s">
        <v>178</v>
      </c>
      <c r="E296" s="20" t="s">
        <v>28</v>
      </c>
      <c r="F296" s="20" t="s">
        <v>61</v>
      </c>
      <c r="G296" s="20">
        <v>6.0</v>
      </c>
      <c r="H296" s="20">
        <v>5.2</v>
      </c>
      <c r="I296" s="21">
        <v>31.2</v>
      </c>
    </row>
    <row r="297" ht="20.25" customHeight="1">
      <c r="A297" s="20">
        <v>2026.0</v>
      </c>
      <c r="B297" s="20">
        <v>5.0</v>
      </c>
      <c r="C297" s="20" t="s">
        <v>177</v>
      </c>
      <c r="D297" s="20" t="s">
        <v>178</v>
      </c>
      <c r="E297" s="20" t="s">
        <v>28</v>
      </c>
      <c r="F297" s="20" t="s">
        <v>61</v>
      </c>
      <c r="G297" s="20">
        <v>13.0</v>
      </c>
      <c r="H297" s="20">
        <v>5.2</v>
      </c>
      <c r="I297" s="21">
        <v>67.6</v>
      </c>
    </row>
    <row r="298" ht="20.25" customHeight="1">
      <c r="A298" s="20">
        <v>2026.0</v>
      </c>
      <c r="B298" s="20">
        <v>6.0</v>
      </c>
      <c r="C298" s="20" t="s">
        <v>177</v>
      </c>
      <c r="D298" s="20" t="s">
        <v>178</v>
      </c>
      <c r="E298" s="20" t="s">
        <v>28</v>
      </c>
      <c r="F298" s="20" t="s">
        <v>61</v>
      </c>
      <c r="G298" s="20">
        <v>20.0</v>
      </c>
      <c r="H298" s="20">
        <v>5.2</v>
      </c>
      <c r="I298" s="21">
        <v>104.0</v>
      </c>
    </row>
    <row r="299" ht="20.25" customHeight="1">
      <c r="A299" s="20">
        <v>2026.0</v>
      </c>
      <c r="B299" s="20">
        <v>4.0</v>
      </c>
      <c r="C299" s="20" t="s">
        <v>179</v>
      </c>
      <c r="D299" s="20" t="s">
        <v>29</v>
      </c>
      <c r="E299" s="20" t="s">
        <v>28</v>
      </c>
      <c r="F299" s="20" t="s">
        <v>61</v>
      </c>
      <c r="G299" s="20">
        <v>9.0</v>
      </c>
      <c r="H299" s="20">
        <v>10.0</v>
      </c>
      <c r="I299" s="21">
        <v>90.0</v>
      </c>
    </row>
    <row r="300" ht="20.25" customHeight="1">
      <c r="A300" s="20">
        <v>2026.0</v>
      </c>
      <c r="B300" s="20">
        <v>4.0</v>
      </c>
      <c r="C300" s="20" t="s">
        <v>179</v>
      </c>
      <c r="D300" s="20" t="s">
        <v>29</v>
      </c>
      <c r="E300" s="20" t="s">
        <v>28</v>
      </c>
      <c r="F300" s="20" t="s">
        <v>61</v>
      </c>
      <c r="G300" s="20">
        <v>12.0</v>
      </c>
      <c r="H300" s="20">
        <v>10.0</v>
      </c>
      <c r="I300" s="21">
        <v>120.0</v>
      </c>
    </row>
    <row r="301" ht="20.25" customHeight="1">
      <c r="A301" s="20">
        <v>2026.0</v>
      </c>
      <c r="B301" s="20">
        <v>5.0</v>
      </c>
      <c r="C301" s="20" t="s">
        <v>179</v>
      </c>
      <c r="D301" s="20" t="s">
        <v>29</v>
      </c>
      <c r="E301" s="20" t="s">
        <v>28</v>
      </c>
      <c r="F301" s="20" t="s">
        <v>61</v>
      </c>
      <c r="G301" s="20">
        <v>16.0</v>
      </c>
      <c r="H301" s="20">
        <v>10.0</v>
      </c>
      <c r="I301" s="21">
        <v>160.0</v>
      </c>
    </row>
    <row r="302" ht="20.25" customHeight="1">
      <c r="A302" s="20">
        <v>2026.0</v>
      </c>
      <c r="B302" s="20">
        <v>6.0</v>
      </c>
      <c r="C302" s="20" t="s">
        <v>179</v>
      </c>
      <c r="D302" s="20" t="s">
        <v>29</v>
      </c>
      <c r="E302" s="20" t="s">
        <v>28</v>
      </c>
      <c r="F302" s="20" t="s">
        <v>61</v>
      </c>
      <c r="G302" s="20">
        <v>22.0</v>
      </c>
      <c r="H302" s="20">
        <v>10.0</v>
      </c>
      <c r="I302" s="21">
        <v>220.0</v>
      </c>
    </row>
    <row r="303" ht="20.25" customHeight="1">
      <c r="A303" s="20">
        <v>2026.0</v>
      </c>
      <c r="B303" s="20">
        <v>4.0</v>
      </c>
      <c r="C303" s="20" t="s">
        <v>180</v>
      </c>
      <c r="D303" s="20" t="s">
        <v>30</v>
      </c>
      <c r="E303" s="20" t="s">
        <v>26</v>
      </c>
      <c r="F303" s="20" t="s">
        <v>61</v>
      </c>
      <c r="G303" s="20">
        <v>16.0</v>
      </c>
      <c r="H303" s="20">
        <v>48.3</v>
      </c>
      <c r="I303" s="21">
        <v>772.8</v>
      </c>
    </row>
    <row r="304" ht="20.25" customHeight="1">
      <c r="A304" s="20">
        <v>2026.0</v>
      </c>
      <c r="B304" s="20">
        <v>5.0</v>
      </c>
      <c r="C304" s="20" t="s">
        <v>180</v>
      </c>
      <c r="D304" s="20" t="s">
        <v>30</v>
      </c>
      <c r="E304" s="20" t="s">
        <v>26</v>
      </c>
      <c r="F304" s="20" t="s">
        <v>61</v>
      </c>
      <c r="G304" s="20">
        <v>15.5</v>
      </c>
      <c r="H304" s="20">
        <v>48.3</v>
      </c>
      <c r="I304" s="21">
        <v>748.65</v>
      </c>
    </row>
    <row r="305" ht="20.25" customHeight="1">
      <c r="A305" s="20">
        <v>2026.0</v>
      </c>
      <c r="B305" s="20">
        <v>6.0</v>
      </c>
      <c r="C305" s="20" t="s">
        <v>180</v>
      </c>
      <c r="D305" s="20" t="s">
        <v>30</v>
      </c>
      <c r="E305" s="20" t="s">
        <v>26</v>
      </c>
      <c r="F305" s="20" t="s">
        <v>61</v>
      </c>
      <c r="G305" s="20">
        <v>19.0</v>
      </c>
      <c r="H305" s="20">
        <v>48.3</v>
      </c>
      <c r="I305" s="21">
        <v>917.7</v>
      </c>
    </row>
    <row r="306" ht="20.25" customHeight="1">
      <c r="A306" s="20">
        <v>2026.0</v>
      </c>
      <c r="B306" s="20">
        <v>4.0</v>
      </c>
      <c r="C306" s="20" t="s">
        <v>145</v>
      </c>
      <c r="D306" s="20" t="s">
        <v>181</v>
      </c>
      <c r="E306" s="20" t="s">
        <v>24</v>
      </c>
      <c r="F306" s="20" t="s">
        <v>61</v>
      </c>
      <c r="G306" s="20">
        <v>17.0</v>
      </c>
      <c r="H306" s="20">
        <v>10.8</v>
      </c>
      <c r="I306" s="21">
        <v>183.6</v>
      </c>
    </row>
    <row r="307" ht="20.25" customHeight="1">
      <c r="A307" s="20">
        <v>2026.0</v>
      </c>
      <c r="B307" s="20">
        <v>4.0</v>
      </c>
      <c r="C307" s="20" t="s">
        <v>145</v>
      </c>
      <c r="D307" s="20" t="s">
        <v>181</v>
      </c>
      <c r="E307" s="20" t="s">
        <v>48</v>
      </c>
      <c r="F307" s="20" t="s">
        <v>61</v>
      </c>
      <c r="G307" s="20">
        <v>17.0</v>
      </c>
      <c r="H307" s="20">
        <v>16.1</v>
      </c>
      <c r="I307" s="21">
        <v>273.7</v>
      </c>
    </row>
    <row r="308" ht="20.25" customHeight="1">
      <c r="A308" s="20">
        <v>2026.0</v>
      </c>
      <c r="B308" s="20">
        <v>5.0</v>
      </c>
      <c r="C308" s="20" t="s">
        <v>145</v>
      </c>
      <c r="D308" s="20" t="s">
        <v>181</v>
      </c>
      <c r="E308" s="20" t="s">
        <v>24</v>
      </c>
      <c r="F308" s="20" t="s">
        <v>61</v>
      </c>
      <c r="G308" s="20">
        <v>11.0</v>
      </c>
      <c r="H308" s="20">
        <v>10.8</v>
      </c>
      <c r="I308" s="21">
        <v>118.8</v>
      </c>
    </row>
    <row r="309" ht="20.25" customHeight="1">
      <c r="A309" s="20">
        <v>2026.0</v>
      </c>
      <c r="B309" s="20">
        <v>5.0</v>
      </c>
      <c r="C309" s="20" t="s">
        <v>145</v>
      </c>
      <c r="D309" s="20" t="s">
        <v>181</v>
      </c>
      <c r="E309" s="20" t="s">
        <v>48</v>
      </c>
      <c r="F309" s="20" t="s">
        <v>61</v>
      </c>
      <c r="G309" s="20">
        <v>11.0</v>
      </c>
      <c r="H309" s="20">
        <v>16.1</v>
      </c>
      <c r="I309" s="21">
        <v>177.1</v>
      </c>
    </row>
    <row r="310" ht="20.25" customHeight="1">
      <c r="A310" s="20">
        <v>2026.0</v>
      </c>
      <c r="B310" s="20">
        <v>6.0</v>
      </c>
      <c r="C310" s="20" t="s">
        <v>145</v>
      </c>
      <c r="D310" s="20" t="s">
        <v>181</v>
      </c>
      <c r="E310" s="20" t="s">
        <v>24</v>
      </c>
      <c r="F310" s="20" t="s">
        <v>61</v>
      </c>
      <c r="G310" s="20">
        <v>9.0</v>
      </c>
      <c r="H310" s="20">
        <v>10.8</v>
      </c>
      <c r="I310" s="21">
        <v>97.2</v>
      </c>
    </row>
    <row r="311" ht="20.25" customHeight="1">
      <c r="A311" s="20">
        <v>2026.0</v>
      </c>
      <c r="B311" s="20">
        <v>6.0</v>
      </c>
      <c r="C311" s="20" t="s">
        <v>145</v>
      </c>
      <c r="D311" s="20" t="s">
        <v>181</v>
      </c>
      <c r="E311" s="20" t="s">
        <v>48</v>
      </c>
      <c r="F311" s="20" t="s">
        <v>61</v>
      </c>
      <c r="G311" s="20">
        <v>9.0</v>
      </c>
      <c r="H311" s="20">
        <v>16.1</v>
      </c>
      <c r="I311" s="21">
        <v>144.9</v>
      </c>
    </row>
    <row r="312" ht="20.25" customHeight="1">
      <c r="A312" s="20">
        <v>2026.0</v>
      </c>
      <c r="B312" s="20">
        <v>4.0</v>
      </c>
      <c r="C312" s="20" t="s">
        <v>183</v>
      </c>
      <c r="D312" s="20" t="s">
        <v>185</v>
      </c>
      <c r="E312" s="20" t="s">
        <v>29</v>
      </c>
      <c r="F312" s="20" t="s">
        <v>61</v>
      </c>
      <c r="G312" s="20">
        <v>5.0</v>
      </c>
      <c r="H312" s="20">
        <v>14.9</v>
      </c>
      <c r="I312" s="21">
        <v>74.5</v>
      </c>
    </row>
    <row r="313" ht="20.25" customHeight="1">
      <c r="A313" s="20">
        <v>2026.0</v>
      </c>
      <c r="B313" s="20">
        <v>5.0</v>
      </c>
      <c r="C313" s="20" t="s">
        <v>183</v>
      </c>
      <c r="D313" s="20" t="s">
        <v>185</v>
      </c>
      <c r="E313" s="20" t="s">
        <v>29</v>
      </c>
      <c r="F313" s="20" t="s">
        <v>61</v>
      </c>
      <c r="G313" s="20">
        <v>4.0</v>
      </c>
      <c r="H313" s="20">
        <v>14.9</v>
      </c>
      <c r="I313" s="21">
        <v>59.6</v>
      </c>
    </row>
    <row r="314" ht="20.25" customHeight="1">
      <c r="A314" s="20">
        <v>2026.0</v>
      </c>
      <c r="B314" s="20">
        <v>6.0</v>
      </c>
      <c r="C314" s="20" t="s">
        <v>183</v>
      </c>
      <c r="D314" s="20" t="s">
        <v>185</v>
      </c>
      <c r="E314" s="20" t="s">
        <v>29</v>
      </c>
      <c r="F314" s="20" t="s">
        <v>61</v>
      </c>
      <c r="G314" s="20">
        <v>6.0</v>
      </c>
      <c r="H314" s="20">
        <v>14.9</v>
      </c>
      <c r="I314" s="21">
        <v>89.4</v>
      </c>
    </row>
    <row r="315" ht="20.25" customHeight="1">
      <c r="A315" s="20">
        <v>2026.0</v>
      </c>
      <c r="B315" s="20">
        <v>4.0</v>
      </c>
      <c r="C315" s="20" t="s">
        <v>153</v>
      </c>
      <c r="D315" s="20" t="s">
        <v>154</v>
      </c>
      <c r="E315" s="20" t="s">
        <v>15</v>
      </c>
      <c r="F315" s="20" t="s">
        <v>61</v>
      </c>
      <c r="G315" s="20">
        <v>14.5</v>
      </c>
      <c r="H315" s="20">
        <v>64.1</v>
      </c>
      <c r="I315" s="21">
        <v>929.45</v>
      </c>
    </row>
    <row r="316" ht="20.25" customHeight="1">
      <c r="A316" s="20">
        <v>2026.0</v>
      </c>
      <c r="B316" s="20">
        <v>4.0</v>
      </c>
      <c r="C316" s="20" t="s">
        <v>186</v>
      </c>
      <c r="D316" s="20" t="s">
        <v>187</v>
      </c>
      <c r="E316" s="20" t="s">
        <v>35</v>
      </c>
      <c r="F316" s="20" t="s">
        <v>61</v>
      </c>
      <c r="G316" s="20">
        <v>21.0</v>
      </c>
      <c r="H316" s="20">
        <v>24.8</v>
      </c>
      <c r="I316" s="21">
        <v>520.8</v>
      </c>
    </row>
    <row r="317" ht="20.25" customHeight="1">
      <c r="A317" s="20">
        <v>2026.0</v>
      </c>
      <c r="B317" s="20">
        <v>4.0</v>
      </c>
      <c r="C317" s="20" t="s">
        <v>186</v>
      </c>
      <c r="D317" s="20" t="s">
        <v>187</v>
      </c>
      <c r="E317" s="20" t="s">
        <v>39</v>
      </c>
      <c r="F317" s="20" t="s">
        <v>61</v>
      </c>
      <c r="G317" s="20">
        <v>21.0</v>
      </c>
      <c r="H317" s="20">
        <v>29.0</v>
      </c>
      <c r="I317" s="21">
        <v>609.0</v>
      </c>
    </row>
    <row r="318" ht="20.25" customHeight="1">
      <c r="A318" s="20">
        <v>2026.0</v>
      </c>
      <c r="B318" s="20">
        <v>4.0</v>
      </c>
      <c r="C318" s="20" t="s">
        <v>155</v>
      </c>
      <c r="D318" s="20" t="s">
        <v>156</v>
      </c>
      <c r="E318" s="20" t="s">
        <v>15</v>
      </c>
      <c r="F318" s="20" t="s">
        <v>61</v>
      </c>
      <c r="G318" s="20">
        <v>2.5</v>
      </c>
      <c r="H318" s="20">
        <v>10.0</v>
      </c>
      <c r="I318" s="21">
        <v>25.0</v>
      </c>
    </row>
    <row r="319" ht="20.25" customHeight="1">
      <c r="A319" s="20">
        <v>2026.0</v>
      </c>
      <c r="B319" s="20">
        <v>4.0</v>
      </c>
      <c r="C319" s="20" t="s">
        <v>155</v>
      </c>
      <c r="D319" s="20" t="s">
        <v>156</v>
      </c>
      <c r="E319" s="20" t="s">
        <v>15</v>
      </c>
      <c r="F319" s="20" t="s">
        <v>61</v>
      </c>
      <c r="G319" s="20">
        <v>18.5</v>
      </c>
      <c r="H319" s="20">
        <v>10.0</v>
      </c>
      <c r="I319" s="21">
        <v>185.0</v>
      </c>
    </row>
    <row r="320" ht="20.25" customHeight="1">
      <c r="A320" s="20">
        <v>2026.0</v>
      </c>
      <c r="B320" s="20">
        <v>5.0</v>
      </c>
      <c r="C320" s="20" t="s">
        <v>186</v>
      </c>
      <c r="D320" s="20" t="s">
        <v>187</v>
      </c>
      <c r="E320" s="20" t="s">
        <v>35</v>
      </c>
      <c r="F320" s="20" t="s">
        <v>61</v>
      </c>
      <c r="G320" s="20">
        <v>1.0</v>
      </c>
      <c r="H320" s="20">
        <v>24.8</v>
      </c>
      <c r="I320" s="21">
        <v>24.8</v>
      </c>
    </row>
    <row r="321" ht="20.25" customHeight="1">
      <c r="A321" s="20">
        <v>2026.0</v>
      </c>
      <c r="B321" s="20">
        <v>5.0</v>
      </c>
      <c r="C321" s="20" t="s">
        <v>186</v>
      </c>
      <c r="D321" s="20" t="s">
        <v>187</v>
      </c>
      <c r="E321" s="20" t="s">
        <v>35</v>
      </c>
      <c r="F321" s="20" t="s">
        <v>61</v>
      </c>
      <c r="G321" s="20">
        <v>17.0</v>
      </c>
      <c r="H321" s="20">
        <v>24.8</v>
      </c>
      <c r="I321" s="21">
        <v>421.6</v>
      </c>
    </row>
    <row r="322" ht="20.25" customHeight="1">
      <c r="A322" s="20">
        <v>2026.0</v>
      </c>
      <c r="B322" s="20">
        <v>5.0</v>
      </c>
      <c r="C322" s="20" t="s">
        <v>186</v>
      </c>
      <c r="D322" s="20" t="s">
        <v>187</v>
      </c>
      <c r="E322" s="20" t="s">
        <v>39</v>
      </c>
      <c r="F322" s="20" t="s">
        <v>61</v>
      </c>
      <c r="G322" s="20">
        <v>1.0</v>
      </c>
      <c r="H322" s="20">
        <v>29.0</v>
      </c>
      <c r="I322" s="21">
        <v>29.0</v>
      </c>
    </row>
    <row r="323" ht="20.25" customHeight="1">
      <c r="A323" s="20">
        <v>2026.0</v>
      </c>
      <c r="B323" s="20">
        <v>5.0</v>
      </c>
      <c r="C323" s="20" t="s">
        <v>186</v>
      </c>
      <c r="D323" s="20" t="s">
        <v>187</v>
      </c>
      <c r="E323" s="20" t="s">
        <v>39</v>
      </c>
      <c r="F323" s="20" t="s">
        <v>61</v>
      </c>
      <c r="G323" s="20">
        <v>17.0</v>
      </c>
      <c r="H323" s="20">
        <v>29.0</v>
      </c>
      <c r="I323" s="21">
        <v>493.0</v>
      </c>
    </row>
    <row r="324" ht="20.25" customHeight="1">
      <c r="A324" s="20">
        <v>2026.0</v>
      </c>
      <c r="B324" s="20">
        <v>5.0</v>
      </c>
      <c r="C324" s="20" t="s">
        <v>155</v>
      </c>
      <c r="D324" s="20" t="s">
        <v>156</v>
      </c>
      <c r="E324" s="20" t="s">
        <v>15</v>
      </c>
      <c r="F324" s="20" t="s">
        <v>61</v>
      </c>
      <c r="G324" s="20">
        <v>8.0</v>
      </c>
      <c r="H324" s="20">
        <v>10.0</v>
      </c>
      <c r="I324" s="21">
        <v>80.0</v>
      </c>
    </row>
    <row r="325" ht="20.25" customHeight="1">
      <c r="A325" s="20">
        <v>2026.0</v>
      </c>
      <c r="B325" s="20">
        <v>6.0</v>
      </c>
      <c r="C325" s="20" t="s">
        <v>186</v>
      </c>
      <c r="D325" s="20" t="s">
        <v>187</v>
      </c>
      <c r="E325" s="20" t="s">
        <v>35</v>
      </c>
      <c r="F325" s="20" t="s">
        <v>61</v>
      </c>
      <c r="G325" s="20">
        <v>9.0</v>
      </c>
      <c r="H325" s="20">
        <v>24.8</v>
      </c>
      <c r="I325" s="21">
        <v>223.2</v>
      </c>
    </row>
    <row r="326" ht="20.25" customHeight="1">
      <c r="A326" s="20">
        <v>2026.0</v>
      </c>
      <c r="B326" s="20">
        <v>6.0</v>
      </c>
      <c r="C326" s="20" t="s">
        <v>186</v>
      </c>
      <c r="D326" s="20" t="s">
        <v>187</v>
      </c>
      <c r="E326" s="20" t="s">
        <v>39</v>
      </c>
      <c r="F326" s="20" t="s">
        <v>61</v>
      </c>
      <c r="G326" s="20">
        <v>9.0</v>
      </c>
      <c r="H326" s="20">
        <v>29.0</v>
      </c>
      <c r="I326" s="21">
        <v>261.0</v>
      </c>
    </row>
    <row r="327" ht="20.25" customHeight="1">
      <c r="A327" s="20">
        <v>2026.0</v>
      </c>
      <c r="B327" s="20">
        <v>4.0</v>
      </c>
      <c r="C327" s="20" t="s">
        <v>167</v>
      </c>
      <c r="D327" s="20" t="s">
        <v>168</v>
      </c>
      <c r="E327" s="20" t="s">
        <v>15</v>
      </c>
      <c r="F327" s="20" t="s">
        <v>61</v>
      </c>
      <c r="G327" s="20">
        <v>15.0</v>
      </c>
      <c r="H327" s="20">
        <v>12.3</v>
      </c>
      <c r="I327" s="21">
        <v>184.5</v>
      </c>
    </row>
    <row r="328" ht="20.25" customHeight="1">
      <c r="A328" s="20">
        <v>2026.0</v>
      </c>
      <c r="B328" s="20">
        <v>4.0</v>
      </c>
      <c r="C328" s="20" t="s">
        <v>188</v>
      </c>
      <c r="D328" s="20" t="s">
        <v>189</v>
      </c>
      <c r="E328" s="20" t="s">
        <v>23</v>
      </c>
      <c r="F328" s="20" t="s">
        <v>61</v>
      </c>
      <c r="G328" s="20">
        <v>21.0</v>
      </c>
      <c r="H328" s="20">
        <v>30.9</v>
      </c>
      <c r="I328" s="21">
        <v>648.9</v>
      </c>
    </row>
    <row r="329" ht="20.25" customHeight="1">
      <c r="A329" s="20">
        <v>2026.0</v>
      </c>
      <c r="B329" s="20">
        <v>4.0</v>
      </c>
      <c r="C329" s="20" t="s">
        <v>188</v>
      </c>
      <c r="D329" s="20" t="s">
        <v>189</v>
      </c>
      <c r="E329" s="20" t="s">
        <v>35</v>
      </c>
      <c r="F329" s="20" t="s">
        <v>61</v>
      </c>
      <c r="G329" s="20">
        <v>21.0</v>
      </c>
      <c r="H329" s="20">
        <v>20.6</v>
      </c>
      <c r="I329" s="21">
        <v>432.6</v>
      </c>
    </row>
    <row r="330" ht="20.25" customHeight="1">
      <c r="A330" s="20">
        <v>2026.0</v>
      </c>
      <c r="B330" s="20">
        <v>5.0</v>
      </c>
      <c r="C330" s="20" t="s">
        <v>167</v>
      </c>
      <c r="D330" s="20" t="s">
        <v>168</v>
      </c>
      <c r="E330" s="20" t="s">
        <v>15</v>
      </c>
      <c r="F330" s="20" t="s">
        <v>61</v>
      </c>
      <c r="G330" s="20">
        <v>16.0</v>
      </c>
      <c r="H330" s="20">
        <v>12.3</v>
      </c>
      <c r="I330" s="21">
        <v>196.8</v>
      </c>
    </row>
    <row r="331" ht="20.25" customHeight="1">
      <c r="A331" s="20">
        <v>2026.0</v>
      </c>
      <c r="B331" s="20">
        <v>5.0</v>
      </c>
      <c r="C331" s="20" t="s">
        <v>188</v>
      </c>
      <c r="D331" s="20" t="s">
        <v>189</v>
      </c>
      <c r="E331" s="20" t="s">
        <v>23</v>
      </c>
      <c r="F331" s="20" t="s">
        <v>61</v>
      </c>
      <c r="G331" s="20">
        <v>17.0</v>
      </c>
      <c r="H331" s="20">
        <v>30.9</v>
      </c>
      <c r="I331" s="21">
        <v>525.3</v>
      </c>
    </row>
    <row r="332" ht="20.25" customHeight="1">
      <c r="A332" s="20">
        <v>2026.0</v>
      </c>
      <c r="B332" s="20">
        <v>5.0</v>
      </c>
      <c r="C332" s="20" t="s">
        <v>188</v>
      </c>
      <c r="D332" s="20" t="s">
        <v>189</v>
      </c>
      <c r="E332" s="20" t="s">
        <v>35</v>
      </c>
      <c r="F332" s="20" t="s">
        <v>61</v>
      </c>
      <c r="G332" s="20">
        <v>17.0</v>
      </c>
      <c r="H332" s="20">
        <v>20.6</v>
      </c>
      <c r="I332" s="21">
        <v>350.2</v>
      </c>
    </row>
    <row r="333" ht="20.25" customHeight="1">
      <c r="A333" s="20">
        <v>2026.0</v>
      </c>
      <c r="B333" s="20">
        <v>6.0</v>
      </c>
      <c r="C333" s="20" t="s">
        <v>167</v>
      </c>
      <c r="D333" s="20" t="s">
        <v>168</v>
      </c>
      <c r="E333" s="20" t="s">
        <v>15</v>
      </c>
      <c r="F333" s="20" t="s">
        <v>61</v>
      </c>
      <c r="G333" s="20">
        <v>1.5</v>
      </c>
      <c r="H333" s="20">
        <v>12.3</v>
      </c>
      <c r="I333" s="21">
        <v>18.45</v>
      </c>
    </row>
    <row r="334" ht="20.25" customHeight="1">
      <c r="A334" s="20">
        <v>2026.0</v>
      </c>
      <c r="B334" s="20">
        <v>6.0</v>
      </c>
      <c r="C334" s="20" t="s">
        <v>188</v>
      </c>
      <c r="D334" s="20" t="s">
        <v>189</v>
      </c>
      <c r="E334" s="20" t="s">
        <v>23</v>
      </c>
      <c r="F334" s="20" t="s">
        <v>61</v>
      </c>
      <c r="G334" s="20">
        <v>22.0</v>
      </c>
      <c r="H334" s="20">
        <v>30.9</v>
      </c>
      <c r="I334" s="21">
        <v>679.8</v>
      </c>
    </row>
    <row r="335" ht="20.25" customHeight="1">
      <c r="A335" s="20">
        <v>2026.0</v>
      </c>
      <c r="B335" s="20">
        <v>6.0</v>
      </c>
      <c r="C335" s="20" t="s">
        <v>188</v>
      </c>
      <c r="D335" s="20" t="s">
        <v>189</v>
      </c>
      <c r="E335" s="20" t="s">
        <v>35</v>
      </c>
      <c r="F335" s="20" t="s">
        <v>61</v>
      </c>
      <c r="G335" s="20">
        <v>22.0</v>
      </c>
      <c r="H335" s="20">
        <v>20.6</v>
      </c>
      <c r="I335" s="21">
        <v>453.2</v>
      </c>
    </row>
    <row r="336" ht="20.25" customHeight="1">
      <c r="A336" s="20">
        <v>2026.0</v>
      </c>
      <c r="B336" s="20">
        <v>4.0</v>
      </c>
      <c r="C336" s="20" t="s">
        <v>104</v>
      </c>
      <c r="D336" s="20" t="s">
        <v>105</v>
      </c>
      <c r="E336" s="20" t="s">
        <v>28</v>
      </c>
      <c r="F336" s="20" t="s">
        <v>61</v>
      </c>
      <c r="G336" s="20">
        <v>20.0</v>
      </c>
      <c r="H336" s="20">
        <v>15.2</v>
      </c>
      <c r="I336" s="21">
        <v>304.0</v>
      </c>
    </row>
    <row r="337" ht="20.25" customHeight="1">
      <c r="A337" s="20">
        <v>2026.0</v>
      </c>
      <c r="B337" s="20">
        <v>4.0</v>
      </c>
      <c r="C337" s="20" t="s">
        <v>104</v>
      </c>
      <c r="D337" s="20" t="s">
        <v>105</v>
      </c>
      <c r="E337" s="20" t="s">
        <v>41</v>
      </c>
      <c r="F337" s="20" t="s">
        <v>61</v>
      </c>
      <c r="G337" s="20">
        <v>20.0</v>
      </c>
      <c r="H337" s="20">
        <v>15.2</v>
      </c>
      <c r="I337" s="21">
        <v>304.0</v>
      </c>
    </row>
    <row r="338" ht="20.25" customHeight="1">
      <c r="A338" s="20">
        <v>2026.0</v>
      </c>
      <c r="B338" s="20">
        <v>5.0</v>
      </c>
      <c r="C338" s="20" t="s">
        <v>104</v>
      </c>
      <c r="D338" s="20" t="s">
        <v>105</v>
      </c>
      <c r="E338" s="20" t="s">
        <v>28</v>
      </c>
      <c r="F338" s="20" t="s">
        <v>61</v>
      </c>
      <c r="G338" s="20">
        <v>16.0</v>
      </c>
      <c r="H338" s="20">
        <v>15.2</v>
      </c>
      <c r="I338" s="21">
        <v>243.2</v>
      </c>
    </row>
    <row r="339" ht="20.25" customHeight="1">
      <c r="A339" s="20">
        <v>2026.0</v>
      </c>
      <c r="B339" s="20">
        <v>5.0</v>
      </c>
      <c r="C339" s="20" t="s">
        <v>104</v>
      </c>
      <c r="D339" s="20" t="s">
        <v>105</v>
      </c>
      <c r="E339" s="20" t="s">
        <v>41</v>
      </c>
      <c r="F339" s="20" t="s">
        <v>61</v>
      </c>
      <c r="G339" s="20">
        <v>16.0</v>
      </c>
      <c r="H339" s="20">
        <v>15.2</v>
      </c>
      <c r="I339" s="21">
        <v>243.2</v>
      </c>
    </row>
    <row r="340" ht="20.25" customHeight="1">
      <c r="A340" s="20">
        <v>2026.0</v>
      </c>
      <c r="B340" s="20">
        <v>6.0</v>
      </c>
      <c r="C340" s="20" t="s">
        <v>104</v>
      </c>
      <c r="D340" s="20" t="s">
        <v>105</v>
      </c>
      <c r="E340" s="20" t="s">
        <v>28</v>
      </c>
      <c r="F340" s="20" t="s">
        <v>61</v>
      </c>
      <c r="G340" s="20">
        <v>2.0</v>
      </c>
      <c r="H340" s="20">
        <v>15.2</v>
      </c>
      <c r="I340" s="21">
        <v>30.4</v>
      </c>
    </row>
    <row r="341" ht="20.25" customHeight="1">
      <c r="A341" s="20">
        <v>2026.0</v>
      </c>
      <c r="B341" s="20">
        <v>6.0</v>
      </c>
      <c r="C341" s="20" t="s">
        <v>104</v>
      </c>
      <c r="D341" s="20" t="s">
        <v>105</v>
      </c>
      <c r="E341" s="20" t="s">
        <v>28</v>
      </c>
      <c r="F341" s="20" t="s">
        <v>61</v>
      </c>
      <c r="G341" s="20">
        <v>20.0</v>
      </c>
      <c r="H341" s="20">
        <v>15.2</v>
      </c>
      <c r="I341" s="21">
        <v>304.0</v>
      </c>
    </row>
    <row r="342" ht="20.25" customHeight="1">
      <c r="A342" s="20">
        <v>2026.0</v>
      </c>
      <c r="B342" s="20">
        <v>6.0</v>
      </c>
      <c r="C342" s="20" t="s">
        <v>104</v>
      </c>
      <c r="D342" s="20" t="s">
        <v>105</v>
      </c>
      <c r="E342" s="20" t="s">
        <v>41</v>
      </c>
      <c r="F342" s="20" t="s">
        <v>61</v>
      </c>
      <c r="G342" s="20">
        <v>2.0</v>
      </c>
      <c r="H342" s="20">
        <v>15.2</v>
      </c>
      <c r="I342" s="21">
        <v>30.4</v>
      </c>
    </row>
    <row r="343" ht="20.25" customHeight="1">
      <c r="A343" s="20">
        <v>2026.0</v>
      </c>
      <c r="B343" s="20">
        <v>6.0</v>
      </c>
      <c r="C343" s="20" t="s">
        <v>104</v>
      </c>
      <c r="D343" s="20" t="s">
        <v>105</v>
      </c>
      <c r="E343" s="20" t="s">
        <v>41</v>
      </c>
      <c r="F343" s="20" t="s">
        <v>61</v>
      </c>
      <c r="G343" s="20">
        <v>20.0</v>
      </c>
      <c r="H343" s="20">
        <v>15.2</v>
      </c>
      <c r="I343" s="21">
        <v>304.0</v>
      </c>
    </row>
    <row r="344" ht="20.25" customHeight="1">
      <c r="A344" s="20">
        <v>2026.0</v>
      </c>
      <c r="B344" s="20">
        <v>4.0</v>
      </c>
      <c r="C344" s="20" t="s">
        <v>190</v>
      </c>
      <c r="D344" s="20" t="s">
        <v>191</v>
      </c>
      <c r="E344" s="20" t="s">
        <v>28</v>
      </c>
      <c r="F344" s="20" t="s">
        <v>61</v>
      </c>
      <c r="G344" s="20">
        <v>19.0</v>
      </c>
      <c r="H344" s="20">
        <v>19.1</v>
      </c>
      <c r="I344" s="21">
        <f t="shared" ref="I344:I349" si="4">G344*H344</f>
        <v>362.9</v>
      </c>
    </row>
    <row r="345" ht="20.25" customHeight="1">
      <c r="A345" s="20">
        <v>2026.0</v>
      </c>
      <c r="B345" s="20">
        <v>4.0</v>
      </c>
      <c r="C345" s="20" t="s">
        <v>190</v>
      </c>
      <c r="D345" s="20" t="s">
        <v>191</v>
      </c>
      <c r="E345" s="20" t="s">
        <v>42</v>
      </c>
      <c r="F345" s="20" t="s">
        <v>61</v>
      </c>
      <c r="G345" s="20">
        <v>19.0</v>
      </c>
      <c r="H345" s="20">
        <v>4.1</v>
      </c>
      <c r="I345" s="21">
        <f t="shared" si="4"/>
        <v>77.9</v>
      </c>
    </row>
    <row r="346" ht="20.25" customHeight="1">
      <c r="A346" s="20">
        <v>2026.0</v>
      </c>
      <c r="B346" s="20">
        <v>5.0</v>
      </c>
      <c r="C346" s="20" t="s">
        <v>190</v>
      </c>
      <c r="D346" s="20" t="s">
        <v>191</v>
      </c>
      <c r="E346" s="20" t="s">
        <v>28</v>
      </c>
      <c r="F346" s="20" t="s">
        <v>61</v>
      </c>
      <c r="G346" s="20">
        <v>10.0</v>
      </c>
      <c r="H346" s="20">
        <v>19.1</v>
      </c>
      <c r="I346" s="21">
        <f t="shared" si="4"/>
        <v>191</v>
      </c>
    </row>
    <row r="347" ht="20.25" customHeight="1">
      <c r="A347" s="20">
        <v>2026.0</v>
      </c>
      <c r="B347" s="20">
        <v>5.0</v>
      </c>
      <c r="C347" s="20" t="s">
        <v>190</v>
      </c>
      <c r="D347" s="20" t="s">
        <v>191</v>
      </c>
      <c r="E347" s="20" t="s">
        <v>42</v>
      </c>
      <c r="F347" s="20" t="s">
        <v>61</v>
      </c>
      <c r="G347" s="20">
        <v>10.0</v>
      </c>
      <c r="H347" s="20">
        <v>4.1</v>
      </c>
      <c r="I347" s="21">
        <f t="shared" si="4"/>
        <v>41</v>
      </c>
    </row>
    <row r="348" ht="20.25" customHeight="1">
      <c r="A348" s="20">
        <v>2026.0</v>
      </c>
      <c r="B348" s="20">
        <v>6.0</v>
      </c>
      <c r="C348" s="20" t="s">
        <v>190</v>
      </c>
      <c r="D348" s="20" t="s">
        <v>191</v>
      </c>
      <c r="E348" s="20" t="s">
        <v>28</v>
      </c>
      <c r="F348" s="20" t="s">
        <v>61</v>
      </c>
      <c r="G348" s="20">
        <v>11.0</v>
      </c>
      <c r="H348" s="20">
        <v>19.1</v>
      </c>
      <c r="I348" s="21">
        <f t="shared" si="4"/>
        <v>210.1</v>
      </c>
    </row>
    <row r="349" ht="20.25" customHeight="1">
      <c r="A349" s="20">
        <v>2026.0</v>
      </c>
      <c r="B349" s="20">
        <v>6.0</v>
      </c>
      <c r="C349" s="20" t="s">
        <v>190</v>
      </c>
      <c r="D349" s="20" t="s">
        <v>191</v>
      </c>
      <c r="E349" s="20" t="s">
        <v>42</v>
      </c>
      <c r="F349" s="20" t="s">
        <v>61</v>
      </c>
      <c r="G349" s="20">
        <v>11.0</v>
      </c>
      <c r="H349" s="20">
        <v>4.1</v>
      </c>
      <c r="I349" s="21">
        <f t="shared" si="4"/>
        <v>45.1</v>
      </c>
    </row>
    <row r="350" ht="20.25" customHeight="1">
      <c r="A350" s="20">
        <v>2026.0</v>
      </c>
      <c r="B350" s="20">
        <v>4.0</v>
      </c>
      <c r="C350" s="20" t="s">
        <v>95</v>
      </c>
      <c r="D350" s="20" t="s">
        <v>31</v>
      </c>
      <c r="E350" s="20" t="s">
        <v>31</v>
      </c>
      <c r="F350" s="20" t="s">
        <v>61</v>
      </c>
      <c r="G350" s="20">
        <v>21.0</v>
      </c>
      <c r="H350" s="20">
        <v>20.2</v>
      </c>
      <c r="I350" s="21">
        <v>424.2</v>
      </c>
    </row>
    <row r="351" ht="20.25" customHeight="1">
      <c r="A351" s="20">
        <v>2026.0</v>
      </c>
      <c r="B351" s="20">
        <v>5.0</v>
      </c>
      <c r="C351" s="20" t="s">
        <v>95</v>
      </c>
      <c r="D351" s="20" t="s">
        <v>31</v>
      </c>
      <c r="E351" s="20" t="s">
        <v>31</v>
      </c>
      <c r="F351" s="20" t="s">
        <v>61</v>
      </c>
      <c r="G351" s="20">
        <v>17.0</v>
      </c>
      <c r="H351" s="20">
        <v>20.2</v>
      </c>
      <c r="I351" s="21">
        <v>343.4</v>
      </c>
    </row>
    <row r="352" ht="20.25" customHeight="1">
      <c r="A352" s="20">
        <v>2026.0</v>
      </c>
      <c r="B352" s="20">
        <v>6.0</v>
      </c>
      <c r="C352" s="20" t="s">
        <v>95</v>
      </c>
      <c r="D352" s="20" t="s">
        <v>31</v>
      </c>
      <c r="E352" s="20" t="s">
        <v>31</v>
      </c>
      <c r="F352" s="20" t="s">
        <v>61</v>
      </c>
      <c r="G352" s="20">
        <v>21.0</v>
      </c>
      <c r="H352" s="20">
        <v>20.2</v>
      </c>
      <c r="I352" s="21">
        <v>424.2</v>
      </c>
    </row>
    <row r="353" ht="20.25" customHeight="1">
      <c r="A353" s="20">
        <v>2026.0</v>
      </c>
      <c r="B353" s="20">
        <v>6.0</v>
      </c>
      <c r="C353" s="20" t="s">
        <v>167</v>
      </c>
      <c r="D353" s="20" t="s">
        <v>168</v>
      </c>
      <c r="E353" s="20" t="s">
        <v>15</v>
      </c>
      <c r="F353" s="20" t="s">
        <v>61</v>
      </c>
      <c r="G353" s="20">
        <v>18.5</v>
      </c>
      <c r="H353" s="20">
        <v>12.3</v>
      </c>
      <c r="I353" s="21">
        <v>227.55</v>
      </c>
    </row>
    <row r="354" ht="20.25" customHeight="1">
      <c r="A354" s="20">
        <v>2026.0</v>
      </c>
      <c r="B354" s="20">
        <v>4.0</v>
      </c>
      <c r="C354" s="20" t="s">
        <v>80</v>
      </c>
      <c r="D354" s="20" t="s">
        <v>81</v>
      </c>
      <c r="E354" s="20" t="s">
        <v>15</v>
      </c>
      <c r="F354" s="20" t="s">
        <v>61</v>
      </c>
      <c r="G354" s="20">
        <v>19.5</v>
      </c>
      <c r="H354" s="20">
        <v>4.1</v>
      </c>
      <c r="I354" s="21">
        <v>79.95</v>
      </c>
    </row>
    <row r="355" ht="20.25" customHeight="1">
      <c r="A355" s="20">
        <v>2026.0</v>
      </c>
      <c r="B355" s="20">
        <v>4.0</v>
      </c>
      <c r="C355" s="20" t="s">
        <v>194</v>
      </c>
      <c r="D355" s="20" t="s">
        <v>195</v>
      </c>
      <c r="E355" s="20" t="s">
        <v>17</v>
      </c>
      <c r="F355" s="20" t="s">
        <v>61</v>
      </c>
      <c r="G355" s="20">
        <v>12.0</v>
      </c>
      <c r="H355" s="20">
        <v>15.8</v>
      </c>
      <c r="I355" s="21">
        <v>189.6</v>
      </c>
    </row>
    <row r="356" ht="20.25" customHeight="1">
      <c r="A356" s="20">
        <v>2026.0</v>
      </c>
      <c r="B356" s="20">
        <v>5.0</v>
      </c>
      <c r="C356" s="20" t="s">
        <v>194</v>
      </c>
      <c r="D356" s="20" t="s">
        <v>195</v>
      </c>
      <c r="E356" s="20" t="s">
        <v>17</v>
      </c>
      <c r="F356" s="20" t="s">
        <v>61</v>
      </c>
      <c r="G356" s="20">
        <v>6.0</v>
      </c>
      <c r="H356" s="20">
        <v>15.8</v>
      </c>
      <c r="I356" s="21">
        <v>94.8</v>
      </c>
    </row>
    <row r="357" ht="20.25" customHeight="1">
      <c r="A357" s="20">
        <v>2026.0</v>
      </c>
      <c r="B357" s="20">
        <v>6.0</v>
      </c>
      <c r="C357" s="20" t="s">
        <v>194</v>
      </c>
      <c r="D357" s="20" t="s">
        <v>195</v>
      </c>
      <c r="E357" s="20" t="s">
        <v>17</v>
      </c>
      <c r="F357" s="20" t="s">
        <v>61</v>
      </c>
      <c r="G357" s="20">
        <v>14.0</v>
      </c>
      <c r="H357" s="20">
        <v>15.8</v>
      </c>
      <c r="I357" s="21">
        <v>221.2</v>
      </c>
    </row>
    <row r="358" ht="20.25" customHeight="1">
      <c r="A358" s="20">
        <v>2026.0</v>
      </c>
      <c r="B358" s="20">
        <v>5.0</v>
      </c>
      <c r="C358" s="20" t="s">
        <v>80</v>
      </c>
      <c r="D358" s="20" t="s">
        <v>81</v>
      </c>
      <c r="E358" s="20" t="s">
        <v>15</v>
      </c>
      <c r="F358" s="20" t="s">
        <v>61</v>
      </c>
      <c r="G358" s="20">
        <v>17.5</v>
      </c>
      <c r="H358" s="20">
        <v>4.1</v>
      </c>
      <c r="I358" s="21">
        <v>71.75</v>
      </c>
    </row>
    <row r="359" ht="20.25" customHeight="1">
      <c r="A359" s="20">
        <v>2026.0</v>
      </c>
      <c r="B359" s="20">
        <v>4.0</v>
      </c>
      <c r="C359" s="20" t="s">
        <v>196</v>
      </c>
      <c r="D359" s="20" t="s">
        <v>197</v>
      </c>
      <c r="E359" s="20" t="s">
        <v>43</v>
      </c>
      <c r="F359" s="20" t="s">
        <v>61</v>
      </c>
      <c r="G359" s="20">
        <v>0.5</v>
      </c>
      <c r="H359" s="20">
        <v>25.0</v>
      </c>
      <c r="I359" s="21">
        <v>12.5</v>
      </c>
    </row>
    <row r="360" ht="20.25" customHeight="1">
      <c r="A360" s="20">
        <v>2026.0</v>
      </c>
      <c r="B360" s="20">
        <v>4.0</v>
      </c>
      <c r="C360" s="20" t="s">
        <v>198</v>
      </c>
      <c r="D360" s="20" t="s">
        <v>199</v>
      </c>
      <c r="E360" s="20" t="s">
        <v>32</v>
      </c>
      <c r="F360" s="20" t="s">
        <v>61</v>
      </c>
      <c r="G360" s="20">
        <v>1.0</v>
      </c>
      <c r="H360" s="20">
        <v>73.5</v>
      </c>
      <c r="I360" s="21">
        <v>73.5</v>
      </c>
    </row>
    <row r="361" ht="20.25" customHeight="1">
      <c r="A361" s="20">
        <v>2026.0</v>
      </c>
      <c r="B361" s="20">
        <v>5.0</v>
      </c>
      <c r="C361" s="20" t="s">
        <v>198</v>
      </c>
      <c r="D361" s="20" t="s">
        <v>199</v>
      </c>
      <c r="E361" s="20" t="s">
        <v>32</v>
      </c>
      <c r="F361" s="20" t="s">
        <v>61</v>
      </c>
      <c r="G361" s="20">
        <v>2.0</v>
      </c>
      <c r="H361" s="20">
        <v>73.5</v>
      </c>
      <c r="I361" s="21">
        <v>147.0</v>
      </c>
    </row>
    <row r="362" ht="20.25" customHeight="1">
      <c r="A362" s="20">
        <v>2026.0</v>
      </c>
      <c r="B362" s="20">
        <v>4.0</v>
      </c>
      <c r="C362" s="20" t="s">
        <v>92</v>
      </c>
      <c r="D362" s="20" t="s">
        <v>93</v>
      </c>
      <c r="E362" s="20" t="s">
        <v>31</v>
      </c>
      <c r="F362" s="20" t="s">
        <v>61</v>
      </c>
      <c r="G362" s="20">
        <v>20.0</v>
      </c>
      <c r="H362" s="20">
        <v>17.6</v>
      </c>
      <c r="I362" s="21">
        <v>352.0</v>
      </c>
    </row>
    <row r="363" ht="20.25" customHeight="1">
      <c r="A363" s="20">
        <v>2026.0</v>
      </c>
      <c r="B363" s="20">
        <v>5.0</v>
      </c>
      <c r="C363" s="20" t="s">
        <v>92</v>
      </c>
      <c r="D363" s="20" t="s">
        <v>93</v>
      </c>
      <c r="E363" s="20" t="s">
        <v>31</v>
      </c>
      <c r="F363" s="20" t="s">
        <v>61</v>
      </c>
      <c r="G363" s="20">
        <v>7.0</v>
      </c>
      <c r="H363" s="20">
        <v>17.6</v>
      </c>
      <c r="I363" s="21">
        <v>123.2</v>
      </c>
    </row>
    <row r="364" ht="20.25" customHeight="1">
      <c r="A364" s="20">
        <v>2026.0</v>
      </c>
      <c r="B364" s="20">
        <v>6.0</v>
      </c>
      <c r="C364" s="20" t="s">
        <v>92</v>
      </c>
      <c r="D364" s="20" t="s">
        <v>93</v>
      </c>
      <c r="E364" s="20" t="s">
        <v>31</v>
      </c>
      <c r="F364" s="20" t="s">
        <v>61</v>
      </c>
      <c r="G364" s="20">
        <v>21.0</v>
      </c>
      <c r="H364" s="20">
        <v>17.6</v>
      </c>
      <c r="I364" s="21">
        <v>369.6</v>
      </c>
    </row>
    <row r="365" ht="20.25" customHeight="1">
      <c r="A365" s="20">
        <v>2026.0</v>
      </c>
      <c r="B365" s="20">
        <v>4.0</v>
      </c>
      <c r="C365" s="20" t="s">
        <v>280</v>
      </c>
      <c r="D365" s="20" t="s">
        <v>281</v>
      </c>
      <c r="E365" s="20" t="s">
        <v>26</v>
      </c>
      <c r="F365" s="20" t="s">
        <v>61</v>
      </c>
      <c r="G365" s="20">
        <v>21.0</v>
      </c>
      <c r="H365" s="20">
        <v>48.3</v>
      </c>
      <c r="I365" s="21">
        <v>1014.3</v>
      </c>
    </row>
    <row r="366" ht="20.25" customHeight="1">
      <c r="A366" s="20">
        <v>2026.0</v>
      </c>
      <c r="B366" s="20">
        <v>5.0</v>
      </c>
      <c r="C366" s="20" t="s">
        <v>280</v>
      </c>
      <c r="D366" s="20" t="s">
        <v>281</v>
      </c>
      <c r="E366" s="20" t="s">
        <v>26</v>
      </c>
      <c r="F366" s="20" t="s">
        <v>61</v>
      </c>
      <c r="G366" s="20">
        <v>17.0</v>
      </c>
      <c r="H366" s="20">
        <v>48.3</v>
      </c>
      <c r="I366" s="21">
        <v>821.1</v>
      </c>
    </row>
    <row r="367" ht="20.25" customHeight="1">
      <c r="A367" s="20">
        <v>2026.0</v>
      </c>
      <c r="B367" s="20">
        <v>6.0</v>
      </c>
      <c r="C367" s="20" t="s">
        <v>280</v>
      </c>
      <c r="D367" s="20" t="s">
        <v>281</v>
      </c>
      <c r="E367" s="20" t="s">
        <v>26</v>
      </c>
      <c r="F367" s="20" t="s">
        <v>61</v>
      </c>
      <c r="G367" s="20">
        <v>21.5</v>
      </c>
      <c r="H367" s="20">
        <v>48.3</v>
      </c>
      <c r="I367" s="21">
        <v>1038.45</v>
      </c>
    </row>
    <row r="368" ht="20.25" customHeight="1">
      <c r="A368" s="20">
        <v>2026.0</v>
      </c>
      <c r="B368" s="20">
        <v>4.0</v>
      </c>
      <c r="C368" s="20" t="s">
        <v>200</v>
      </c>
      <c r="D368" s="20" t="s">
        <v>32</v>
      </c>
      <c r="E368" s="20" t="s">
        <v>19</v>
      </c>
      <c r="F368" s="20" t="s">
        <v>61</v>
      </c>
      <c r="G368" s="20">
        <v>17.0</v>
      </c>
      <c r="H368" s="20">
        <v>15.0</v>
      </c>
      <c r="I368" s="21">
        <v>255.0</v>
      </c>
    </row>
    <row r="369" ht="20.25" customHeight="1">
      <c r="A369" s="20">
        <v>2026.0</v>
      </c>
      <c r="B369" s="20">
        <v>5.0</v>
      </c>
      <c r="C369" s="20" t="s">
        <v>200</v>
      </c>
      <c r="D369" s="20" t="s">
        <v>32</v>
      </c>
      <c r="E369" s="20" t="s">
        <v>19</v>
      </c>
      <c r="F369" s="20" t="s">
        <v>61</v>
      </c>
      <c r="G369" s="20">
        <v>16.0</v>
      </c>
      <c r="H369" s="20">
        <v>15.0</v>
      </c>
      <c r="I369" s="21">
        <v>240.0</v>
      </c>
    </row>
    <row r="370" ht="20.25" customHeight="1">
      <c r="A370" s="20">
        <v>2026.0</v>
      </c>
      <c r="B370" s="20">
        <v>6.0</v>
      </c>
      <c r="C370" s="20" t="s">
        <v>200</v>
      </c>
      <c r="D370" s="20" t="s">
        <v>32</v>
      </c>
      <c r="E370" s="20" t="s">
        <v>19</v>
      </c>
      <c r="F370" s="20" t="s">
        <v>61</v>
      </c>
      <c r="G370" s="20">
        <v>22.0</v>
      </c>
      <c r="H370" s="20">
        <v>15.0</v>
      </c>
      <c r="I370" s="21">
        <v>330.0</v>
      </c>
    </row>
    <row r="371" ht="20.25" customHeight="1">
      <c r="A371" s="20">
        <v>2026.0</v>
      </c>
      <c r="B371" s="20">
        <v>4.0</v>
      </c>
      <c r="C371" s="20" t="s">
        <v>201</v>
      </c>
      <c r="D371" s="20" t="s">
        <v>202</v>
      </c>
      <c r="E371" s="20" t="s">
        <v>35</v>
      </c>
      <c r="F371" s="20" t="s">
        <v>61</v>
      </c>
      <c r="G371" s="20">
        <v>6.5</v>
      </c>
      <c r="H371" s="20">
        <v>41.2</v>
      </c>
      <c r="I371" s="21">
        <v>267.8</v>
      </c>
    </row>
    <row r="372" ht="20.25" customHeight="1">
      <c r="A372" s="20">
        <v>2026.0</v>
      </c>
      <c r="B372" s="20">
        <v>6.0</v>
      </c>
      <c r="C372" s="20" t="s">
        <v>80</v>
      </c>
      <c r="D372" s="20" t="s">
        <v>81</v>
      </c>
      <c r="E372" s="20" t="s">
        <v>15</v>
      </c>
      <c r="F372" s="20" t="s">
        <v>61</v>
      </c>
      <c r="G372" s="20">
        <v>9.5</v>
      </c>
      <c r="H372" s="20">
        <v>4.1</v>
      </c>
      <c r="I372" s="21">
        <v>38.95</v>
      </c>
    </row>
    <row r="373" ht="20.25" customHeight="1">
      <c r="A373" s="20">
        <v>2026.0</v>
      </c>
      <c r="B373" s="20">
        <v>6.0</v>
      </c>
      <c r="C373" s="20" t="s">
        <v>80</v>
      </c>
      <c r="D373" s="20" t="s">
        <v>81</v>
      </c>
      <c r="E373" s="20" t="s">
        <v>15</v>
      </c>
      <c r="F373" s="20" t="s">
        <v>61</v>
      </c>
      <c r="G373" s="20">
        <v>12.0</v>
      </c>
      <c r="H373" s="20">
        <v>4.1</v>
      </c>
      <c r="I373" s="21">
        <v>49.2</v>
      </c>
    </row>
    <row r="374" ht="20.25" customHeight="1">
      <c r="A374" s="20">
        <v>2026.0</v>
      </c>
      <c r="B374" s="20">
        <v>4.0</v>
      </c>
      <c r="C374" s="20" t="s">
        <v>186</v>
      </c>
      <c r="D374" s="20" t="s">
        <v>187</v>
      </c>
      <c r="E374" s="20" t="s">
        <v>15</v>
      </c>
      <c r="F374" s="20" t="s">
        <v>61</v>
      </c>
      <c r="G374" s="20">
        <v>21.0</v>
      </c>
      <c r="H374" s="20">
        <v>29.0</v>
      </c>
      <c r="I374" s="21">
        <v>609.0</v>
      </c>
    </row>
    <row r="375" ht="20.25" customHeight="1">
      <c r="A375" s="20">
        <v>2026.0</v>
      </c>
      <c r="B375" s="20">
        <v>5.0</v>
      </c>
      <c r="C375" s="20" t="s">
        <v>186</v>
      </c>
      <c r="D375" s="20" t="s">
        <v>187</v>
      </c>
      <c r="E375" s="20" t="s">
        <v>15</v>
      </c>
      <c r="F375" s="20" t="s">
        <v>61</v>
      </c>
      <c r="G375" s="20">
        <v>1.0</v>
      </c>
      <c r="H375" s="20">
        <v>29.0</v>
      </c>
      <c r="I375" s="21">
        <v>29.0</v>
      </c>
    </row>
    <row r="376" ht="20.25" customHeight="1">
      <c r="A376" s="20">
        <v>2026.0</v>
      </c>
      <c r="B376" s="20">
        <v>4.0</v>
      </c>
      <c r="C376" s="20" t="s">
        <v>282</v>
      </c>
      <c r="D376" s="20" t="s">
        <v>283</v>
      </c>
      <c r="E376" s="20" t="s">
        <v>35</v>
      </c>
      <c r="F376" s="20" t="s">
        <v>61</v>
      </c>
      <c r="G376" s="20">
        <v>14.0</v>
      </c>
      <c r="H376" s="20">
        <v>8.9</v>
      </c>
      <c r="I376" s="21">
        <v>124.6</v>
      </c>
    </row>
    <row r="377" ht="20.25" customHeight="1">
      <c r="A377" s="20">
        <v>2026.0</v>
      </c>
      <c r="B377" s="20">
        <v>5.0</v>
      </c>
      <c r="C377" s="20" t="s">
        <v>282</v>
      </c>
      <c r="D377" s="20" t="s">
        <v>283</v>
      </c>
      <c r="E377" s="20" t="s">
        <v>35</v>
      </c>
      <c r="F377" s="20" t="s">
        <v>61</v>
      </c>
      <c r="G377" s="20">
        <v>18.0</v>
      </c>
      <c r="H377" s="20">
        <v>8.9</v>
      </c>
      <c r="I377" s="21">
        <v>160.2</v>
      </c>
    </row>
    <row r="378" ht="20.25" customHeight="1">
      <c r="A378" s="20">
        <v>2026.0</v>
      </c>
      <c r="B378" s="20">
        <v>6.0</v>
      </c>
      <c r="C378" s="20" t="s">
        <v>282</v>
      </c>
      <c r="D378" s="20" t="s">
        <v>283</v>
      </c>
      <c r="E378" s="20" t="s">
        <v>35</v>
      </c>
      <c r="F378" s="20" t="s">
        <v>61</v>
      </c>
      <c r="G378" s="20">
        <v>20.0</v>
      </c>
      <c r="H378" s="20">
        <v>8.9</v>
      </c>
      <c r="I378" s="21">
        <v>178.0</v>
      </c>
    </row>
    <row r="379" ht="20.25" customHeight="1">
      <c r="A379" s="20">
        <v>2026.0</v>
      </c>
      <c r="B379" s="20">
        <v>5.0</v>
      </c>
      <c r="C379" s="20" t="s">
        <v>186</v>
      </c>
      <c r="D379" s="20" t="s">
        <v>187</v>
      </c>
      <c r="E379" s="20" t="s">
        <v>15</v>
      </c>
      <c r="F379" s="20" t="s">
        <v>61</v>
      </c>
      <c r="G379" s="20">
        <v>17.0</v>
      </c>
      <c r="H379" s="20">
        <v>29.0</v>
      </c>
      <c r="I379" s="21">
        <v>493.0</v>
      </c>
    </row>
    <row r="380" ht="20.25" customHeight="1">
      <c r="A380" s="20">
        <v>2026.0</v>
      </c>
      <c r="B380" s="20">
        <v>4.0</v>
      </c>
      <c r="C380" s="20" t="s">
        <v>205</v>
      </c>
      <c r="D380" s="20" t="s">
        <v>33</v>
      </c>
      <c r="E380" s="20" t="s">
        <v>44</v>
      </c>
      <c r="F380" s="20" t="s">
        <v>61</v>
      </c>
      <c r="G380" s="20">
        <v>17.0</v>
      </c>
      <c r="H380" s="20">
        <v>14.8</v>
      </c>
      <c r="I380" s="21">
        <v>251.6</v>
      </c>
    </row>
    <row r="381" ht="20.25" customHeight="1">
      <c r="A381" s="20">
        <v>2026.0</v>
      </c>
      <c r="B381" s="20">
        <v>6.0</v>
      </c>
      <c r="C381" s="20" t="s">
        <v>186</v>
      </c>
      <c r="D381" s="20" t="s">
        <v>187</v>
      </c>
      <c r="E381" s="20" t="s">
        <v>15</v>
      </c>
      <c r="F381" s="20" t="s">
        <v>61</v>
      </c>
      <c r="G381" s="20">
        <v>9.0</v>
      </c>
      <c r="H381" s="20">
        <v>29.0</v>
      </c>
      <c r="I381" s="21">
        <v>261.0</v>
      </c>
    </row>
    <row r="382" ht="20.25" customHeight="1">
      <c r="A382" s="20">
        <v>2026.0</v>
      </c>
      <c r="B382" s="20">
        <v>5.0</v>
      </c>
      <c r="C382" s="20" t="s">
        <v>205</v>
      </c>
      <c r="D382" s="20" t="s">
        <v>33</v>
      </c>
      <c r="E382" s="20" t="s">
        <v>44</v>
      </c>
      <c r="F382" s="20" t="s">
        <v>61</v>
      </c>
      <c r="G382" s="20">
        <v>17.5</v>
      </c>
      <c r="H382" s="20">
        <v>14.8</v>
      </c>
      <c r="I382" s="21">
        <v>259.0</v>
      </c>
    </row>
    <row r="383" ht="20.25" customHeight="1">
      <c r="A383" s="20">
        <v>2026.0</v>
      </c>
      <c r="B383" s="20">
        <v>4.0</v>
      </c>
      <c r="C383" s="20" t="s">
        <v>188</v>
      </c>
      <c r="D383" s="20" t="s">
        <v>189</v>
      </c>
      <c r="E383" s="20" t="s">
        <v>15</v>
      </c>
      <c r="F383" s="20" t="s">
        <v>61</v>
      </c>
      <c r="G383" s="20">
        <v>21.0</v>
      </c>
      <c r="H383" s="20">
        <v>5.7</v>
      </c>
      <c r="I383" s="21">
        <v>119.7</v>
      </c>
    </row>
    <row r="384" ht="20.25" customHeight="1">
      <c r="A384" s="20">
        <v>2026.0</v>
      </c>
      <c r="B384" s="20">
        <v>6.0</v>
      </c>
      <c r="C384" s="20" t="s">
        <v>205</v>
      </c>
      <c r="D384" s="20" t="s">
        <v>33</v>
      </c>
      <c r="E384" s="20" t="s">
        <v>44</v>
      </c>
      <c r="F384" s="20" t="s">
        <v>61</v>
      </c>
      <c r="G384" s="20">
        <v>22.0</v>
      </c>
      <c r="H384" s="20">
        <v>14.8</v>
      </c>
      <c r="I384" s="21">
        <v>325.6</v>
      </c>
    </row>
    <row r="385" ht="20.25" customHeight="1">
      <c r="A385" s="20">
        <v>2026.0</v>
      </c>
      <c r="B385" s="20">
        <v>4.0</v>
      </c>
      <c r="C385" s="20" t="s">
        <v>95</v>
      </c>
      <c r="D385" s="20" t="s">
        <v>96</v>
      </c>
      <c r="E385" s="20" t="s">
        <v>31</v>
      </c>
      <c r="F385" s="20" t="s">
        <v>61</v>
      </c>
      <c r="G385" s="20">
        <v>20.0</v>
      </c>
      <c r="H385" s="20">
        <v>10.0</v>
      </c>
      <c r="I385" s="21">
        <v>200.0</v>
      </c>
    </row>
    <row r="386" ht="20.25" customHeight="1">
      <c r="A386" s="20">
        <v>2026.0</v>
      </c>
      <c r="B386" s="20">
        <v>5.0</v>
      </c>
      <c r="C386" s="20" t="s">
        <v>95</v>
      </c>
      <c r="D386" s="20" t="s">
        <v>96</v>
      </c>
      <c r="E386" s="20" t="s">
        <v>31</v>
      </c>
      <c r="F386" s="20" t="s">
        <v>61</v>
      </c>
      <c r="G386" s="20">
        <v>16.0</v>
      </c>
      <c r="H386" s="20">
        <v>10.0</v>
      </c>
      <c r="I386" s="21">
        <v>160.0</v>
      </c>
    </row>
    <row r="387" ht="20.25" customHeight="1">
      <c r="A387" s="20">
        <v>2026.0</v>
      </c>
      <c r="B387" s="20">
        <v>6.0</v>
      </c>
      <c r="C387" s="20" t="s">
        <v>95</v>
      </c>
      <c r="D387" s="20" t="s">
        <v>96</v>
      </c>
      <c r="E387" s="20" t="s">
        <v>31</v>
      </c>
      <c r="F387" s="20" t="s">
        <v>61</v>
      </c>
      <c r="G387" s="20">
        <v>15.5</v>
      </c>
      <c r="H387" s="20">
        <v>10.0</v>
      </c>
      <c r="I387" s="21">
        <v>155.0</v>
      </c>
    </row>
    <row r="388" ht="20.25" customHeight="1">
      <c r="A388" s="20">
        <v>2026.0</v>
      </c>
      <c r="B388" s="20">
        <v>4.0</v>
      </c>
      <c r="C388" s="20" t="s">
        <v>69</v>
      </c>
      <c r="D388" s="20" t="s">
        <v>70</v>
      </c>
      <c r="E388" s="20" t="s">
        <v>13</v>
      </c>
      <c r="F388" s="20" t="s">
        <v>61</v>
      </c>
      <c r="G388" s="20">
        <v>19.0</v>
      </c>
      <c r="H388" s="20">
        <v>17.9</v>
      </c>
      <c r="I388" s="21">
        <v>340.1</v>
      </c>
    </row>
    <row r="389" ht="20.25" customHeight="1">
      <c r="A389" s="20">
        <v>2026.0</v>
      </c>
      <c r="B389" s="20">
        <v>4.0</v>
      </c>
      <c r="C389" s="20" t="s">
        <v>69</v>
      </c>
      <c r="D389" s="20" t="s">
        <v>70</v>
      </c>
      <c r="E389" s="20" t="s">
        <v>17</v>
      </c>
      <c r="F389" s="20" t="s">
        <v>61</v>
      </c>
      <c r="G389" s="20">
        <v>19.0</v>
      </c>
      <c r="H389" s="20">
        <v>4.5</v>
      </c>
      <c r="I389" s="21">
        <v>85.5</v>
      </c>
    </row>
    <row r="390" ht="20.25" customHeight="1">
      <c r="A390" s="20">
        <v>2026.0</v>
      </c>
      <c r="B390" s="20">
        <v>5.0</v>
      </c>
      <c r="C390" s="20" t="s">
        <v>69</v>
      </c>
      <c r="D390" s="20" t="s">
        <v>70</v>
      </c>
      <c r="E390" s="20" t="s">
        <v>13</v>
      </c>
      <c r="F390" s="20" t="s">
        <v>61</v>
      </c>
      <c r="G390" s="20">
        <v>12.5</v>
      </c>
      <c r="H390" s="20">
        <v>17.9</v>
      </c>
      <c r="I390" s="21">
        <v>223.75</v>
      </c>
    </row>
    <row r="391" ht="20.25" customHeight="1">
      <c r="A391" s="20">
        <v>2026.0</v>
      </c>
      <c r="B391" s="20">
        <v>5.0</v>
      </c>
      <c r="C391" s="20" t="s">
        <v>69</v>
      </c>
      <c r="D391" s="20" t="s">
        <v>70</v>
      </c>
      <c r="E391" s="20" t="s">
        <v>17</v>
      </c>
      <c r="F391" s="20" t="s">
        <v>61</v>
      </c>
      <c r="G391" s="20">
        <v>12.5</v>
      </c>
      <c r="H391" s="20">
        <v>4.5</v>
      </c>
      <c r="I391" s="21">
        <v>56.25</v>
      </c>
    </row>
    <row r="392" ht="20.25" customHeight="1">
      <c r="A392" s="20">
        <v>2026.0</v>
      </c>
      <c r="B392" s="20">
        <v>6.0</v>
      </c>
      <c r="C392" s="20" t="s">
        <v>69</v>
      </c>
      <c r="D392" s="20" t="s">
        <v>70</v>
      </c>
      <c r="E392" s="20" t="s">
        <v>13</v>
      </c>
      <c r="F392" s="20" t="s">
        <v>61</v>
      </c>
      <c r="G392" s="20">
        <v>2.5</v>
      </c>
      <c r="H392" s="20">
        <v>17.9</v>
      </c>
      <c r="I392" s="21">
        <v>44.75</v>
      </c>
    </row>
    <row r="393" ht="20.25" customHeight="1">
      <c r="A393" s="20">
        <v>2026.0</v>
      </c>
      <c r="B393" s="20">
        <v>6.0</v>
      </c>
      <c r="C393" s="20" t="s">
        <v>69</v>
      </c>
      <c r="D393" s="20" t="s">
        <v>70</v>
      </c>
      <c r="E393" s="20" t="s">
        <v>13</v>
      </c>
      <c r="F393" s="20" t="s">
        <v>61</v>
      </c>
      <c r="G393" s="20">
        <v>11.5</v>
      </c>
      <c r="H393" s="20">
        <v>17.9</v>
      </c>
      <c r="I393" s="21">
        <v>205.85</v>
      </c>
    </row>
    <row r="394" ht="20.25" customHeight="1">
      <c r="A394" s="20">
        <v>2026.0</v>
      </c>
      <c r="B394" s="20">
        <v>6.0</v>
      </c>
      <c r="C394" s="20" t="s">
        <v>69</v>
      </c>
      <c r="D394" s="20" t="s">
        <v>70</v>
      </c>
      <c r="E394" s="20" t="s">
        <v>17</v>
      </c>
      <c r="F394" s="20" t="s">
        <v>61</v>
      </c>
      <c r="G394" s="20">
        <v>2.5</v>
      </c>
      <c r="H394" s="20">
        <v>4.5</v>
      </c>
      <c r="I394" s="21">
        <v>11.25</v>
      </c>
    </row>
    <row r="395" ht="20.25" customHeight="1">
      <c r="A395" s="20">
        <v>2026.0</v>
      </c>
      <c r="B395" s="20">
        <v>6.0</v>
      </c>
      <c r="C395" s="20" t="s">
        <v>69</v>
      </c>
      <c r="D395" s="20" t="s">
        <v>70</v>
      </c>
      <c r="E395" s="20" t="s">
        <v>17</v>
      </c>
      <c r="F395" s="20" t="s">
        <v>61</v>
      </c>
      <c r="G395" s="20">
        <v>11.5</v>
      </c>
      <c r="H395" s="20">
        <v>4.5</v>
      </c>
      <c r="I395" s="21">
        <v>51.75</v>
      </c>
    </row>
    <row r="396" ht="20.25" customHeight="1">
      <c r="A396" s="20">
        <v>2026.0</v>
      </c>
      <c r="B396" s="20">
        <v>5.0</v>
      </c>
      <c r="C396" s="20" t="s">
        <v>188</v>
      </c>
      <c r="D396" s="20" t="s">
        <v>189</v>
      </c>
      <c r="E396" s="20" t="s">
        <v>15</v>
      </c>
      <c r="F396" s="20" t="s">
        <v>61</v>
      </c>
      <c r="G396" s="20">
        <v>17.0</v>
      </c>
      <c r="H396" s="20">
        <v>5.7</v>
      </c>
      <c r="I396" s="21">
        <v>96.9</v>
      </c>
    </row>
    <row r="397" ht="20.25" customHeight="1">
      <c r="A397" s="20">
        <v>2026.0</v>
      </c>
      <c r="B397" s="20">
        <v>4.0</v>
      </c>
      <c r="C397" s="20" t="s">
        <v>62</v>
      </c>
      <c r="D397" s="20" t="s">
        <v>207</v>
      </c>
      <c r="E397" s="20" t="s">
        <v>35</v>
      </c>
      <c r="F397" s="20" t="s">
        <v>61</v>
      </c>
      <c r="G397" s="20">
        <v>21.0</v>
      </c>
      <c r="H397" s="20">
        <v>7.7</v>
      </c>
      <c r="I397" s="21">
        <v>161.7</v>
      </c>
    </row>
    <row r="398" ht="20.25" customHeight="1">
      <c r="A398" s="20">
        <v>2026.0</v>
      </c>
      <c r="B398" s="20">
        <v>6.0</v>
      </c>
      <c r="C398" s="20" t="s">
        <v>188</v>
      </c>
      <c r="D398" s="20" t="s">
        <v>189</v>
      </c>
      <c r="E398" s="20" t="s">
        <v>15</v>
      </c>
      <c r="F398" s="20" t="s">
        <v>61</v>
      </c>
      <c r="G398" s="20">
        <v>22.0</v>
      </c>
      <c r="H398" s="20">
        <v>5.7</v>
      </c>
      <c r="I398" s="21">
        <v>125.4</v>
      </c>
    </row>
    <row r="399" ht="20.25" customHeight="1">
      <c r="A399" s="20">
        <v>2026.0</v>
      </c>
      <c r="B399" s="20">
        <v>5.0</v>
      </c>
      <c r="C399" s="20" t="s">
        <v>62</v>
      </c>
      <c r="D399" s="20" t="s">
        <v>207</v>
      </c>
      <c r="E399" s="20" t="s">
        <v>35</v>
      </c>
      <c r="F399" s="20" t="s">
        <v>61</v>
      </c>
      <c r="G399" s="20">
        <v>12.0</v>
      </c>
      <c r="H399" s="20">
        <v>7.7</v>
      </c>
      <c r="I399" s="21">
        <v>92.4</v>
      </c>
    </row>
    <row r="400" ht="20.25" customHeight="1">
      <c r="A400" s="20">
        <v>2026.0</v>
      </c>
      <c r="B400" s="20">
        <v>4.0</v>
      </c>
      <c r="C400" s="20" t="s">
        <v>192</v>
      </c>
      <c r="D400" s="20" t="s">
        <v>193</v>
      </c>
      <c r="E400" s="20" t="s">
        <v>15</v>
      </c>
      <c r="F400" s="20" t="s">
        <v>61</v>
      </c>
      <c r="G400" s="20">
        <v>21.0</v>
      </c>
      <c r="H400" s="20">
        <v>10.0</v>
      </c>
      <c r="I400" s="21">
        <v>210.0</v>
      </c>
    </row>
    <row r="401" ht="20.25" customHeight="1">
      <c r="A401" s="20">
        <v>2026.0</v>
      </c>
      <c r="B401" s="20">
        <v>5.0</v>
      </c>
      <c r="C401" s="20" t="s">
        <v>192</v>
      </c>
      <c r="D401" s="20" t="s">
        <v>193</v>
      </c>
      <c r="E401" s="20" t="s">
        <v>15</v>
      </c>
      <c r="F401" s="20" t="s">
        <v>61</v>
      </c>
      <c r="G401" s="20">
        <v>4.0</v>
      </c>
      <c r="H401" s="20">
        <v>10.0</v>
      </c>
      <c r="I401" s="21">
        <v>40.0</v>
      </c>
    </row>
    <row r="402" ht="20.25" customHeight="1">
      <c r="A402" s="20">
        <v>2026.0</v>
      </c>
      <c r="B402" s="20">
        <v>6.0</v>
      </c>
      <c r="C402" s="20" t="s">
        <v>62</v>
      </c>
      <c r="D402" s="20" t="s">
        <v>207</v>
      </c>
      <c r="E402" s="20" t="s">
        <v>35</v>
      </c>
      <c r="F402" s="20" t="s">
        <v>61</v>
      </c>
      <c r="G402" s="20">
        <v>4.0</v>
      </c>
      <c r="H402" s="20">
        <v>7.7</v>
      </c>
      <c r="I402" s="21">
        <v>30.8</v>
      </c>
    </row>
    <row r="403" ht="20.25" customHeight="1">
      <c r="A403" s="20">
        <v>2026.0</v>
      </c>
      <c r="B403" s="20">
        <v>6.0</v>
      </c>
      <c r="C403" s="20" t="s">
        <v>62</v>
      </c>
      <c r="D403" s="20" t="s">
        <v>207</v>
      </c>
      <c r="E403" s="20" t="s">
        <v>35</v>
      </c>
      <c r="F403" s="20" t="s">
        <v>61</v>
      </c>
      <c r="G403" s="20">
        <v>16.0</v>
      </c>
      <c r="H403" s="20">
        <v>7.7</v>
      </c>
      <c r="I403" s="21">
        <v>123.2</v>
      </c>
    </row>
    <row r="404" ht="20.25" customHeight="1">
      <c r="A404" s="20">
        <v>2026.0</v>
      </c>
      <c r="B404" s="20">
        <v>4.0</v>
      </c>
      <c r="C404" s="20" t="s">
        <v>210</v>
      </c>
      <c r="D404" s="20" t="s">
        <v>211</v>
      </c>
      <c r="E404" s="20" t="s">
        <v>17</v>
      </c>
      <c r="F404" s="20" t="s">
        <v>61</v>
      </c>
      <c r="G404" s="20">
        <v>21.0</v>
      </c>
      <c r="H404" s="20">
        <v>19.4</v>
      </c>
      <c r="I404" s="21">
        <v>407.4</v>
      </c>
    </row>
    <row r="405" ht="20.25" customHeight="1">
      <c r="A405" s="20">
        <v>2026.0</v>
      </c>
      <c r="B405" s="20">
        <v>5.0</v>
      </c>
      <c r="C405" s="20" t="s">
        <v>210</v>
      </c>
      <c r="D405" s="20" t="s">
        <v>211</v>
      </c>
      <c r="E405" s="20" t="s">
        <v>17</v>
      </c>
      <c r="F405" s="20" t="s">
        <v>61</v>
      </c>
      <c r="G405" s="20">
        <v>11.0</v>
      </c>
      <c r="H405" s="20">
        <v>14.0</v>
      </c>
      <c r="I405" s="21">
        <v>154.0</v>
      </c>
    </row>
    <row r="406" ht="20.25" customHeight="1">
      <c r="A406" s="20">
        <v>2026.0</v>
      </c>
      <c r="B406" s="20">
        <v>6.0</v>
      </c>
      <c r="C406" s="20" t="s">
        <v>210</v>
      </c>
      <c r="D406" s="20" t="s">
        <v>211</v>
      </c>
      <c r="E406" s="20" t="s">
        <v>17</v>
      </c>
      <c r="F406" s="20" t="s">
        <v>61</v>
      </c>
      <c r="G406" s="20">
        <v>18.0</v>
      </c>
      <c r="H406" s="20">
        <v>14.0</v>
      </c>
      <c r="I406" s="21">
        <v>252.0</v>
      </c>
    </row>
    <row r="407" ht="20.25" customHeight="1">
      <c r="A407" s="20">
        <v>2026.0</v>
      </c>
      <c r="B407" s="20">
        <v>4.0</v>
      </c>
      <c r="C407" s="20" t="s">
        <v>171</v>
      </c>
      <c r="D407" s="20" t="s">
        <v>212</v>
      </c>
      <c r="E407" s="20" t="s">
        <v>28</v>
      </c>
      <c r="F407" s="20" t="s">
        <v>61</v>
      </c>
      <c r="G407" s="20">
        <v>17.0</v>
      </c>
      <c r="H407" s="20">
        <v>15.7</v>
      </c>
      <c r="I407" s="21">
        <v>266.9</v>
      </c>
    </row>
    <row r="408" ht="20.25" customHeight="1">
      <c r="A408" s="20">
        <v>2026.0</v>
      </c>
      <c r="B408" s="20">
        <v>5.0</v>
      </c>
      <c r="C408" s="20" t="s">
        <v>171</v>
      </c>
      <c r="D408" s="20" t="s">
        <v>212</v>
      </c>
      <c r="E408" s="20" t="s">
        <v>28</v>
      </c>
      <c r="F408" s="20" t="s">
        <v>61</v>
      </c>
      <c r="G408" s="20">
        <v>18.0</v>
      </c>
      <c r="H408" s="20">
        <v>15.7</v>
      </c>
      <c r="I408" s="21">
        <v>282.6</v>
      </c>
    </row>
    <row r="409" ht="20.25" customHeight="1">
      <c r="A409" s="20">
        <v>2026.0</v>
      </c>
      <c r="B409" s="20">
        <v>6.0</v>
      </c>
      <c r="C409" s="20" t="s">
        <v>171</v>
      </c>
      <c r="D409" s="20" t="s">
        <v>212</v>
      </c>
      <c r="E409" s="20" t="s">
        <v>28</v>
      </c>
      <c r="F409" s="20" t="s">
        <v>61</v>
      </c>
      <c r="G409" s="20">
        <v>3.0</v>
      </c>
      <c r="H409" s="20">
        <v>15.7</v>
      </c>
      <c r="I409" s="21">
        <v>47.1</v>
      </c>
    </row>
    <row r="410" ht="20.25" customHeight="1">
      <c r="A410" s="20">
        <v>2026.0</v>
      </c>
      <c r="B410" s="20">
        <v>6.0</v>
      </c>
      <c r="C410" s="20" t="s">
        <v>171</v>
      </c>
      <c r="D410" s="20" t="s">
        <v>212</v>
      </c>
      <c r="E410" s="20" t="s">
        <v>28</v>
      </c>
      <c r="F410" s="20" t="s">
        <v>61</v>
      </c>
      <c r="G410" s="20">
        <v>17.5</v>
      </c>
      <c r="H410" s="20">
        <v>15.7</v>
      </c>
      <c r="I410" s="21">
        <v>274.75</v>
      </c>
    </row>
    <row r="411" ht="20.25" customHeight="1">
      <c r="A411" s="20">
        <v>2026.0</v>
      </c>
      <c r="B411" s="20">
        <v>4.0</v>
      </c>
      <c r="C411" s="20" t="s">
        <v>213</v>
      </c>
      <c r="D411" s="20" t="s">
        <v>214</v>
      </c>
      <c r="E411" s="20" t="s">
        <v>28</v>
      </c>
      <c r="F411" s="20" t="s">
        <v>61</v>
      </c>
      <c r="G411" s="20">
        <v>20.0</v>
      </c>
      <c r="H411" s="20">
        <v>46.5</v>
      </c>
      <c r="I411" s="21">
        <v>930.0</v>
      </c>
    </row>
    <row r="412" ht="20.25" customHeight="1">
      <c r="A412" s="20">
        <v>2026.0</v>
      </c>
      <c r="B412" s="20">
        <v>5.0</v>
      </c>
      <c r="C412" s="20" t="s">
        <v>213</v>
      </c>
      <c r="D412" s="20" t="s">
        <v>214</v>
      </c>
      <c r="E412" s="20" t="s">
        <v>28</v>
      </c>
      <c r="F412" s="20" t="s">
        <v>61</v>
      </c>
      <c r="G412" s="20">
        <v>13.0</v>
      </c>
      <c r="H412" s="20">
        <v>46.5</v>
      </c>
      <c r="I412" s="21">
        <v>604.5</v>
      </c>
    </row>
    <row r="413" ht="20.25" customHeight="1">
      <c r="A413" s="20">
        <v>2026.0</v>
      </c>
      <c r="B413" s="20">
        <v>6.0</v>
      </c>
      <c r="C413" s="20" t="s">
        <v>213</v>
      </c>
      <c r="D413" s="20" t="s">
        <v>214</v>
      </c>
      <c r="E413" s="20" t="s">
        <v>28</v>
      </c>
      <c r="F413" s="20" t="s">
        <v>61</v>
      </c>
      <c r="G413" s="20">
        <v>17.0</v>
      </c>
      <c r="H413" s="20">
        <v>46.5</v>
      </c>
      <c r="I413" s="21">
        <v>790.5</v>
      </c>
    </row>
    <row r="414" ht="20.25" customHeight="1">
      <c r="A414" s="20">
        <v>2026.0</v>
      </c>
      <c r="B414" s="20">
        <v>4.0</v>
      </c>
      <c r="C414" s="20" t="s">
        <v>196</v>
      </c>
      <c r="D414" s="20" t="s">
        <v>197</v>
      </c>
      <c r="E414" s="20" t="s">
        <v>15</v>
      </c>
      <c r="F414" s="20" t="s">
        <v>61</v>
      </c>
      <c r="G414" s="20">
        <v>0.5</v>
      </c>
      <c r="H414" s="20">
        <v>25.0</v>
      </c>
      <c r="I414" s="21">
        <v>12.5</v>
      </c>
    </row>
    <row r="415" ht="20.25" customHeight="1">
      <c r="A415" s="20">
        <v>2026.0</v>
      </c>
      <c r="B415" s="20">
        <v>4.0</v>
      </c>
      <c r="C415" s="20" t="s">
        <v>62</v>
      </c>
      <c r="D415" s="20" t="s">
        <v>215</v>
      </c>
      <c r="E415" s="20" t="s">
        <v>35</v>
      </c>
      <c r="F415" s="20" t="s">
        <v>61</v>
      </c>
      <c r="G415" s="20">
        <v>11.5</v>
      </c>
      <c r="H415" s="20">
        <v>3.4</v>
      </c>
      <c r="I415" s="21">
        <v>39.1</v>
      </c>
    </row>
    <row r="416" ht="20.25" customHeight="1">
      <c r="A416" s="20">
        <v>2026.0</v>
      </c>
      <c r="B416" s="20">
        <v>4.0</v>
      </c>
      <c r="C416" s="20" t="s">
        <v>196</v>
      </c>
      <c r="D416" s="20" t="s">
        <v>233</v>
      </c>
      <c r="E416" s="20" t="s">
        <v>15</v>
      </c>
      <c r="F416" s="20" t="s">
        <v>61</v>
      </c>
      <c r="G416" s="20">
        <v>19.5</v>
      </c>
      <c r="H416" s="20">
        <v>9.7</v>
      </c>
      <c r="I416" s="21">
        <v>189.15</v>
      </c>
    </row>
    <row r="417" ht="20.25" customHeight="1">
      <c r="A417" s="20">
        <v>2026.0</v>
      </c>
      <c r="B417" s="20">
        <v>5.0</v>
      </c>
      <c r="C417" s="20" t="s">
        <v>62</v>
      </c>
      <c r="D417" s="20" t="s">
        <v>215</v>
      </c>
      <c r="E417" s="20" t="s">
        <v>35</v>
      </c>
      <c r="F417" s="20" t="s">
        <v>61</v>
      </c>
      <c r="G417" s="20">
        <v>13.5</v>
      </c>
      <c r="H417" s="20">
        <v>3.4</v>
      </c>
      <c r="I417" s="21">
        <v>45.9</v>
      </c>
    </row>
    <row r="418" ht="20.25" customHeight="1">
      <c r="A418" s="20">
        <v>2026.0</v>
      </c>
      <c r="B418" s="20">
        <v>5.0</v>
      </c>
      <c r="C418" s="20" t="s">
        <v>196</v>
      </c>
      <c r="D418" s="20" t="s">
        <v>233</v>
      </c>
      <c r="E418" s="20" t="s">
        <v>15</v>
      </c>
      <c r="F418" s="20" t="s">
        <v>61</v>
      </c>
      <c r="G418" s="20">
        <v>18.0</v>
      </c>
      <c r="H418" s="20">
        <v>9.7</v>
      </c>
      <c r="I418" s="21">
        <v>174.6</v>
      </c>
    </row>
    <row r="419" ht="20.25" customHeight="1">
      <c r="A419" s="20">
        <v>2026.0</v>
      </c>
      <c r="B419" s="20">
        <v>6.0</v>
      </c>
      <c r="C419" s="20" t="s">
        <v>62</v>
      </c>
      <c r="D419" s="20" t="s">
        <v>215</v>
      </c>
      <c r="E419" s="20" t="s">
        <v>35</v>
      </c>
      <c r="F419" s="20" t="s">
        <v>61</v>
      </c>
      <c r="G419" s="20">
        <v>9.5</v>
      </c>
      <c r="H419" s="20">
        <v>3.4</v>
      </c>
      <c r="I419" s="21">
        <v>32.3</v>
      </c>
    </row>
    <row r="420" ht="20.25" customHeight="1">
      <c r="A420" s="20">
        <v>2026.0</v>
      </c>
      <c r="B420" s="20">
        <v>6.0</v>
      </c>
      <c r="C420" s="20" t="s">
        <v>196</v>
      </c>
      <c r="D420" s="20" t="s">
        <v>233</v>
      </c>
      <c r="E420" s="20" t="s">
        <v>15</v>
      </c>
      <c r="F420" s="20" t="s">
        <v>61</v>
      </c>
      <c r="G420" s="20">
        <v>11.0</v>
      </c>
      <c r="H420" s="20">
        <v>9.7</v>
      </c>
      <c r="I420" s="21">
        <v>106.7</v>
      </c>
    </row>
    <row r="421" ht="20.25" customHeight="1">
      <c r="A421" s="20">
        <v>2026.0</v>
      </c>
      <c r="B421" s="20">
        <v>4.0</v>
      </c>
      <c r="C421" s="20" t="s">
        <v>62</v>
      </c>
      <c r="D421" s="20" t="s">
        <v>216</v>
      </c>
      <c r="E421" s="20" t="s">
        <v>35</v>
      </c>
      <c r="F421" s="20" t="s">
        <v>61</v>
      </c>
      <c r="G421" s="20">
        <v>21.0</v>
      </c>
      <c r="H421" s="20">
        <v>11.2</v>
      </c>
      <c r="I421" s="21">
        <v>235.2</v>
      </c>
    </row>
    <row r="422" ht="20.25" customHeight="1">
      <c r="A422" s="20">
        <v>2026.0</v>
      </c>
      <c r="B422" s="20">
        <v>4.0</v>
      </c>
      <c r="C422" s="20" t="s">
        <v>203</v>
      </c>
      <c r="D422" s="20" t="s">
        <v>204</v>
      </c>
      <c r="E422" s="20" t="s">
        <v>15</v>
      </c>
      <c r="F422" s="20" t="s">
        <v>61</v>
      </c>
      <c r="G422" s="20">
        <v>2.0</v>
      </c>
      <c r="H422" s="20">
        <v>10.0</v>
      </c>
      <c r="I422" s="21">
        <v>20.0</v>
      </c>
    </row>
    <row r="423" ht="20.25" customHeight="1">
      <c r="A423" s="20">
        <v>2026.0</v>
      </c>
      <c r="B423" s="20">
        <v>5.0</v>
      </c>
      <c r="C423" s="20" t="s">
        <v>62</v>
      </c>
      <c r="D423" s="20" t="s">
        <v>216</v>
      </c>
      <c r="E423" s="20" t="s">
        <v>35</v>
      </c>
      <c r="F423" s="20" t="s">
        <v>61</v>
      </c>
      <c r="G423" s="20">
        <v>18.0</v>
      </c>
      <c r="H423" s="20">
        <v>11.2</v>
      </c>
      <c r="I423" s="21">
        <v>201.6</v>
      </c>
    </row>
    <row r="424" ht="20.25" customHeight="1">
      <c r="A424" s="20">
        <v>2026.0</v>
      </c>
      <c r="B424" s="20">
        <v>4.0</v>
      </c>
      <c r="C424" s="20" t="s">
        <v>203</v>
      </c>
      <c r="D424" s="20" t="s">
        <v>204</v>
      </c>
      <c r="E424" s="20" t="s">
        <v>15</v>
      </c>
      <c r="F424" s="20" t="s">
        <v>61</v>
      </c>
      <c r="G424" s="20">
        <v>12.0</v>
      </c>
      <c r="H424" s="20">
        <v>10.0</v>
      </c>
      <c r="I424" s="21">
        <v>120.0</v>
      </c>
    </row>
    <row r="425" ht="20.25" customHeight="1">
      <c r="A425" s="20">
        <v>2026.0</v>
      </c>
      <c r="B425" s="20">
        <v>5.0</v>
      </c>
      <c r="C425" s="20" t="s">
        <v>203</v>
      </c>
      <c r="D425" s="20" t="s">
        <v>204</v>
      </c>
      <c r="E425" s="20" t="s">
        <v>15</v>
      </c>
      <c r="F425" s="20" t="s">
        <v>61</v>
      </c>
      <c r="G425" s="20">
        <v>18.0</v>
      </c>
      <c r="H425" s="20">
        <v>10.0</v>
      </c>
      <c r="I425" s="21">
        <v>180.0</v>
      </c>
    </row>
    <row r="426" ht="20.25" customHeight="1">
      <c r="A426" s="20">
        <v>2026.0</v>
      </c>
      <c r="B426" s="20">
        <v>6.0</v>
      </c>
      <c r="C426" s="20" t="s">
        <v>62</v>
      </c>
      <c r="D426" s="20" t="s">
        <v>216</v>
      </c>
      <c r="E426" s="20" t="s">
        <v>35</v>
      </c>
      <c r="F426" s="20" t="s">
        <v>61</v>
      </c>
      <c r="G426" s="20">
        <v>5.0</v>
      </c>
      <c r="H426" s="20">
        <v>11.2</v>
      </c>
      <c r="I426" s="21">
        <v>56.0</v>
      </c>
    </row>
    <row r="427" ht="20.25" customHeight="1">
      <c r="A427" s="20">
        <v>2026.0</v>
      </c>
      <c r="B427" s="20">
        <v>6.0</v>
      </c>
      <c r="C427" s="20" t="s">
        <v>62</v>
      </c>
      <c r="D427" s="20" t="s">
        <v>216</v>
      </c>
      <c r="E427" s="20" t="s">
        <v>35</v>
      </c>
      <c r="F427" s="20" t="s">
        <v>61</v>
      </c>
      <c r="G427" s="20">
        <v>10.0</v>
      </c>
      <c r="H427" s="20">
        <v>11.2</v>
      </c>
      <c r="I427" s="21">
        <v>112.0</v>
      </c>
    </row>
    <row r="428" ht="20.25" customHeight="1">
      <c r="A428" s="20">
        <v>2026.0</v>
      </c>
      <c r="B428" s="20">
        <v>4.0</v>
      </c>
      <c r="C428" s="20" t="s">
        <v>217</v>
      </c>
      <c r="D428" s="20" t="s">
        <v>34</v>
      </c>
      <c r="E428" s="20" t="s">
        <v>34</v>
      </c>
      <c r="F428" s="20" t="s">
        <v>61</v>
      </c>
      <c r="G428" s="20">
        <v>4.0</v>
      </c>
      <c r="H428" s="20">
        <v>57.6</v>
      </c>
      <c r="I428" s="21">
        <v>230.4</v>
      </c>
    </row>
    <row r="429" ht="20.25" customHeight="1">
      <c r="A429" s="20">
        <v>2026.0</v>
      </c>
      <c r="B429" s="20">
        <v>4.0</v>
      </c>
      <c r="C429" s="20" t="s">
        <v>218</v>
      </c>
      <c r="D429" s="20" t="s">
        <v>34</v>
      </c>
      <c r="E429" s="20" t="s">
        <v>34</v>
      </c>
      <c r="F429" s="20" t="s">
        <v>61</v>
      </c>
      <c r="G429" s="20">
        <v>16.0</v>
      </c>
      <c r="H429" s="20">
        <v>57.6</v>
      </c>
      <c r="I429" s="21">
        <v>921.6</v>
      </c>
    </row>
    <row r="430" ht="20.25" customHeight="1">
      <c r="A430" s="20">
        <v>2026.0</v>
      </c>
      <c r="B430" s="20">
        <v>5.0</v>
      </c>
      <c r="C430" s="20" t="s">
        <v>217</v>
      </c>
      <c r="D430" s="20" t="s">
        <v>34</v>
      </c>
      <c r="E430" s="20" t="s">
        <v>34</v>
      </c>
      <c r="F430" s="20" t="s">
        <v>61</v>
      </c>
      <c r="G430" s="20">
        <v>4.0</v>
      </c>
      <c r="H430" s="20">
        <v>57.6</v>
      </c>
      <c r="I430" s="21">
        <v>230.4</v>
      </c>
    </row>
    <row r="431" ht="20.25" customHeight="1">
      <c r="A431" s="20">
        <v>2026.0</v>
      </c>
      <c r="B431" s="20">
        <v>5.0</v>
      </c>
      <c r="C431" s="20" t="s">
        <v>218</v>
      </c>
      <c r="D431" s="20" t="s">
        <v>34</v>
      </c>
      <c r="E431" s="20" t="s">
        <v>34</v>
      </c>
      <c r="F431" s="20" t="s">
        <v>61</v>
      </c>
      <c r="G431" s="20">
        <v>11.0</v>
      </c>
      <c r="H431" s="20">
        <v>57.6</v>
      </c>
      <c r="I431" s="21">
        <v>633.6</v>
      </c>
    </row>
    <row r="432" ht="20.25" customHeight="1">
      <c r="A432" s="20">
        <v>2026.0</v>
      </c>
      <c r="B432" s="20">
        <v>6.0</v>
      </c>
      <c r="C432" s="20" t="s">
        <v>217</v>
      </c>
      <c r="D432" s="20" t="s">
        <v>34</v>
      </c>
      <c r="E432" s="20" t="s">
        <v>34</v>
      </c>
      <c r="F432" s="20" t="s">
        <v>61</v>
      </c>
      <c r="G432" s="20">
        <v>3.0</v>
      </c>
      <c r="H432" s="20">
        <v>57.6</v>
      </c>
      <c r="I432" s="21">
        <v>172.8</v>
      </c>
    </row>
    <row r="433" ht="20.25" customHeight="1">
      <c r="A433" s="20">
        <v>2026.0</v>
      </c>
      <c r="B433" s="20">
        <v>6.0</v>
      </c>
      <c r="C433" s="20" t="s">
        <v>218</v>
      </c>
      <c r="D433" s="20" t="s">
        <v>34</v>
      </c>
      <c r="E433" s="20" t="s">
        <v>34</v>
      </c>
      <c r="F433" s="20" t="s">
        <v>61</v>
      </c>
      <c r="G433" s="20">
        <v>18.0</v>
      </c>
      <c r="H433" s="20">
        <v>57.6</v>
      </c>
      <c r="I433" s="21">
        <v>1036.8</v>
      </c>
    </row>
    <row r="434" ht="20.25" customHeight="1">
      <c r="A434" s="20">
        <v>2026.0</v>
      </c>
      <c r="B434" s="20">
        <v>6.0</v>
      </c>
      <c r="C434" s="20" t="s">
        <v>203</v>
      </c>
      <c r="D434" s="20" t="s">
        <v>204</v>
      </c>
      <c r="E434" s="20" t="s">
        <v>15</v>
      </c>
      <c r="F434" s="20" t="s">
        <v>61</v>
      </c>
      <c r="G434" s="20">
        <v>22.0</v>
      </c>
      <c r="H434" s="20">
        <v>10.0</v>
      </c>
      <c r="I434" s="21">
        <v>220.0</v>
      </c>
    </row>
    <row r="435" ht="20.25" customHeight="1">
      <c r="A435" s="20">
        <v>2026.0</v>
      </c>
      <c r="B435" s="20">
        <v>4.0</v>
      </c>
      <c r="C435" s="20" t="s">
        <v>219</v>
      </c>
      <c r="D435" s="20" t="s">
        <v>35</v>
      </c>
      <c r="E435" s="20" t="s">
        <v>23</v>
      </c>
      <c r="F435" s="20" t="s">
        <v>61</v>
      </c>
      <c r="G435" s="20">
        <v>22.75</v>
      </c>
      <c r="H435" s="20">
        <v>3.3</v>
      </c>
      <c r="I435" s="21">
        <v>75.07</v>
      </c>
    </row>
    <row r="436" ht="20.25" customHeight="1">
      <c r="A436" s="20">
        <v>2026.0</v>
      </c>
      <c r="B436" s="20">
        <v>4.0</v>
      </c>
      <c r="C436" s="20" t="s">
        <v>205</v>
      </c>
      <c r="D436" s="20" t="s">
        <v>33</v>
      </c>
      <c r="E436" s="20" t="s">
        <v>15</v>
      </c>
      <c r="F436" s="20" t="s">
        <v>61</v>
      </c>
      <c r="G436" s="20">
        <v>17.0</v>
      </c>
      <c r="H436" s="20">
        <v>28.8</v>
      </c>
      <c r="I436" s="21">
        <v>489.6</v>
      </c>
    </row>
    <row r="437" ht="20.25" customHeight="1">
      <c r="A437" s="20">
        <v>2026.0</v>
      </c>
      <c r="B437" s="20">
        <v>5.0</v>
      </c>
      <c r="C437" s="20" t="s">
        <v>219</v>
      </c>
      <c r="D437" s="20" t="s">
        <v>35</v>
      </c>
      <c r="E437" s="20" t="s">
        <v>23</v>
      </c>
      <c r="F437" s="20" t="s">
        <v>61</v>
      </c>
      <c r="G437" s="20">
        <v>15.0</v>
      </c>
      <c r="H437" s="20">
        <v>3.3</v>
      </c>
      <c r="I437" s="21">
        <v>49.5</v>
      </c>
    </row>
    <row r="438" ht="20.25" customHeight="1">
      <c r="A438" s="20">
        <v>2026.0</v>
      </c>
      <c r="B438" s="20">
        <v>5.0</v>
      </c>
      <c r="C438" s="20" t="s">
        <v>205</v>
      </c>
      <c r="D438" s="20" t="s">
        <v>33</v>
      </c>
      <c r="E438" s="20" t="s">
        <v>15</v>
      </c>
      <c r="F438" s="20" t="s">
        <v>61</v>
      </c>
      <c r="G438" s="20">
        <v>17.5</v>
      </c>
      <c r="H438" s="20">
        <v>28.8</v>
      </c>
      <c r="I438" s="21">
        <v>504.0</v>
      </c>
    </row>
    <row r="439" ht="20.25" customHeight="1">
      <c r="A439" s="20">
        <v>2026.0</v>
      </c>
      <c r="B439" s="20">
        <v>6.0</v>
      </c>
      <c r="C439" s="20" t="s">
        <v>219</v>
      </c>
      <c r="D439" s="20" t="s">
        <v>35</v>
      </c>
      <c r="E439" s="20" t="s">
        <v>23</v>
      </c>
      <c r="F439" s="20" t="s">
        <v>61</v>
      </c>
      <c r="G439" s="20">
        <v>22.25</v>
      </c>
      <c r="H439" s="20">
        <v>3.3</v>
      </c>
      <c r="I439" s="21">
        <v>73.42</v>
      </c>
    </row>
    <row r="440" ht="20.25" customHeight="1">
      <c r="A440" s="20">
        <v>2026.0</v>
      </c>
      <c r="B440" s="20">
        <v>4.0</v>
      </c>
      <c r="C440" s="20" t="s">
        <v>220</v>
      </c>
      <c r="D440" s="20" t="s">
        <v>221</v>
      </c>
      <c r="E440" s="20" t="s">
        <v>31</v>
      </c>
      <c r="F440" s="20" t="s">
        <v>61</v>
      </c>
      <c r="G440" s="20">
        <v>20.0</v>
      </c>
      <c r="H440" s="20">
        <v>33.3</v>
      </c>
      <c r="I440" s="21">
        <v>666.0</v>
      </c>
    </row>
    <row r="441" ht="20.25" customHeight="1">
      <c r="A441" s="20">
        <v>2026.0</v>
      </c>
      <c r="B441" s="20">
        <v>5.0</v>
      </c>
      <c r="C441" s="20" t="s">
        <v>220</v>
      </c>
      <c r="D441" s="20" t="s">
        <v>221</v>
      </c>
      <c r="E441" s="20" t="s">
        <v>31</v>
      </c>
      <c r="F441" s="20" t="s">
        <v>61</v>
      </c>
      <c r="G441" s="20">
        <v>11.0</v>
      </c>
      <c r="H441" s="20">
        <v>33.3</v>
      </c>
      <c r="I441" s="21">
        <v>366.3</v>
      </c>
    </row>
    <row r="442" ht="20.25" customHeight="1">
      <c r="A442" s="20">
        <v>2026.0</v>
      </c>
      <c r="B442" s="20">
        <v>6.0</v>
      </c>
      <c r="C442" s="20" t="s">
        <v>220</v>
      </c>
      <c r="D442" s="20" t="s">
        <v>221</v>
      </c>
      <c r="E442" s="20" t="s">
        <v>31</v>
      </c>
      <c r="F442" s="20" t="s">
        <v>61</v>
      </c>
      <c r="G442" s="20">
        <v>21.5</v>
      </c>
      <c r="H442" s="20">
        <v>33.3</v>
      </c>
      <c r="I442" s="21">
        <v>715.95</v>
      </c>
    </row>
    <row r="443" ht="20.25" customHeight="1">
      <c r="A443" s="20">
        <v>2026.0</v>
      </c>
      <c r="B443" s="20">
        <v>4.0</v>
      </c>
      <c r="C443" s="20" t="s">
        <v>223</v>
      </c>
      <c r="D443" s="20" t="s">
        <v>47</v>
      </c>
      <c r="E443" s="20" t="s">
        <v>26</v>
      </c>
      <c r="F443" s="20" t="s">
        <v>61</v>
      </c>
      <c r="G443" s="20">
        <v>20.5</v>
      </c>
      <c r="H443" s="20">
        <v>52.0</v>
      </c>
      <c r="I443" s="21">
        <v>1066.0</v>
      </c>
    </row>
    <row r="444" ht="20.25" customHeight="1">
      <c r="A444" s="20">
        <v>2026.0</v>
      </c>
      <c r="B444" s="20">
        <v>5.0</v>
      </c>
      <c r="C444" s="20" t="s">
        <v>223</v>
      </c>
      <c r="D444" s="20" t="s">
        <v>47</v>
      </c>
      <c r="E444" s="20" t="s">
        <v>26</v>
      </c>
      <c r="F444" s="20" t="s">
        <v>61</v>
      </c>
      <c r="G444" s="20">
        <v>15.5</v>
      </c>
      <c r="H444" s="20">
        <v>52.0</v>
      </c>
      <c r="I444" s="21">
        <v>806.0</v>
      </c>
    </row>
    <row r="445" ht="20.25" customHeight="1">
      <c r="A445" s="20">
        <v>2026.0</v>
      </c>
      <c r="B445" s="20">
        <v>6.0</v>
      </c>
      <c r="C445" s="20" t="s">
        <v>223</v>
      </c>
      <c r="D445" s="20" t="s">
        <v>47</v>
      </c>
      <c r="E445" s="20" t="s">
        <v>26</v>
      </c>
      <c r="F445" s="20" t="s">
        <v>61</v>
      </c>
      <c r="G445" s="20">
        <v>21.5</v>
      </c>
      <c r="H445" s="20">
        <v>52.0</v>
      </c>
      <c r="I445" s="21">
        <v>1118.0</v>
      </c>
    </row>
    <row r="446" ht="20.25" customHeight="1">
      <c r="A446" s="20">
        <v>2026.0</v>
      </c>
      <c r="B446" s="20">
        <v>4.0</v>
      </c>
      <c r="C446" s="20" t="s">
        <v>225</v>
      </c>
      <c r="D446" s="20" t="s">
        <v>226</v>
      </c>
      <c r="E446" s="20" t="s">
        <v>35</v>
      </c>
      <c r="F446" s="20" t="s">
        <v>61</v>
      </c>
      <c r="G446" s="20">
        <v>8.0</v>
      </c>
      <c r="H446" s="20">
        <v>30.9</v>
      </c>
      <c r="I446" s="21">
        <v>247.2</v>
      </c>
    </row>
    <row r="447" ht="20.25" customHeight="1">
      <c r="A447" s="20">
        <v>2026.0</v>
      </c>
      <c r="B447" s="20">
        <v>4.0</v>
      </c>
      <c r="C447" s="20" t="s">
        <v>225</v>
      </c>
      <c r="D447" s="20" t="s">
        <v>226</v>
      </c>
      <c r="E447" s="20" t="s">
        <v>35</v>
      </c>
      <c r="F447" s="20" t="s">
        <v>61</v>
      </c>
      <c r="G447" s="20">
        <v>2.0</v>
      </c>
      <c r="H447" s="20">
        <v>30.9</v>
      </c>
      <c r="I447" s="21">
        <v>61.8</v>
      </c>
    </row>
    <row r="448" ht="20.25" customHeight="1">
      <c r="A448" s="20">
        <v>2026.0</v>
      </c>
      <c r="B448" s="20">
        <v>1.0</v>
      </c>
      <c r="C448" s="20" t="s">
        <v>284</v>
      </c>
      <c r="D448" s="20" t="s">
        <v>285</v>
      </c>
      <c r="E448" s="20" t="s">
        <v>17</v>
      </c>
      <c r="F448" s="20" t="s">
        <v>61</v>
      </c>
      <c r="G448" s="20">
        <v>19.0</v>
      </c>
      <c r="H448" s="20">
        <v>3.1</v>
      </c>
      <c r="I448" s="21">
        <v>58.9</v>
      </c>
    </row>
    <row r="449" ht="20.25" customHeight="1">
      <c r="A449" s="20">
        <v>2026.0</v>
      </c>
      <c r="B449" s="20">
        <v>2.0</v>
      </c>
      <c r="C449" s="20" t="s">
        <v>284</v>
      </c>
      <c r="D449" s="20" t="s">
        <v>285</v>
      </c>
      <c r="E449" s="20" t="s">
        <v>17</v>
      </c>
      <c r="F449" s="20" t="s">
        <v>61</v>
      </c>
      <c r="G449" s="20">
        <v>19.0</v>
      </c>
      <c r="H449" s="20">
        <v>3.1</v>
      </c>
      <c r="I449" s="21">
        <v>58.9</v>
      </c>
    </row>
    <row r="450" ht="20.25" customHeight="1">
      <c r="A450" s="20">
        <v>2026.0</v>
      </c>
      <c r="B450" s="20">
        <v>3.0</v>
      </c>
      <c r="C450" s="20" t="s">
        <v>284</v>
      </c>
      <c r="D450" s="20" t="s">
        <v>285</v>
      </c>
      <c r="E450" s="20" t="s">
        <v>17</v>
      </c>
      <c r="F450" s="20" t="s">
        <v>61</v>
      </c>
      <c r="G450" s="20">
        <v>22.0</v>
      </c>
      <c r="H450" s="20">
        <v>3.1</v>
      </c>
      <c r="I450" s="21">
        <v>68.2</v>
      </c>
    </row>
    <row r="451" ht="20.25" customHeight="1">
      <c r="A451" s="20">
        <v>2026.0</v>
      </c>
      <c r="B451" s="20">
        <v>4.0</v>
      </c>
      <c r="C451" s="20" t="s">
        <v>284</v>
      </c>
      <c r="D451" s="20" t="s">
        <v>285</v>
      </c>
      <c r="E451" s="20" t="s">
        <v>17</v>
      </c>
      <c r="F451" s="20" t="s">
        <v>61</v>
      </c>
      <c r="G451" s="20">
        <v>17.0</v>
      </c>
      <c r="H451" s="20">
        <v>3.1</v>
      </c>
      <c r="I451" s="21">
        <v>52.7</v>
      </c>
    </row>
    <row r="452" ht="20.25" customHeight="1">
      <c r="A452" s="20">
        <v>2026.0</v>
      </c>
      <c r="B452" s="20">
        <v>5.0</v>
      </c>
      <c r="C452" s="20" t="s">
        <v>284</v>
      </c>
      <c r="D452" s="20" t="s">
        <v>285</v>
      </c>
      <c r="E452" s="20" t="s">
        <v>17</v>
      </c>
      <c r="F452" s="20" t="s">
        <v>61</v>
      </c>
      <c r="G452" s="20">
        <v>11.0</v>
      </c>
      <c r="H452" s="20">
        <v>3.1</v>
      </c>
      <c r="I452" s="21">
        <v>34.1</v>
      </c>
    </row>
    <row r="453" ht="20.25" customHeight="1">
      <c r="A453" s="20">
        <v>2026.0</v>
      </c>
      <c r="B453" s="20">
        <v>6.0</v>
      </c>
      <c r="C453" s="20" t="s">
        <v>284</v>
      </c>
      <c r="D453" s="20" t="s">
        <v>285</v>
      </c>
      <c r="E453" s="20" t="s">
        <v>17</v>
      </c>
      <c r="F453" s="20" t="s">
        <v>61</v>
      </c>
      <c r="G453" s="20">
        <v>17.0</v>
      </c>
      <c r="H453" s="20">
        <v>3.1</v>
      </c>
      <c r="I453" s="21">
        <v>52.7</v>
      </c>
    </row>
    <row r="454" ht="20.25" customHeight="1">
      <c r="A454" s="20">
        <v>2026.0</v>
      </c>
      <c r="B454" s="20">
        <v>6.0</v>
      </c>
      <c r="C454" s="20" t="s">
        <v>286</v>
      </c>
      <c r="D454" s="20" t="s">
        <v>287</v>
      </c>
      <c r="E454" s="20" t="s">
        <v>26</v>
      </c>
      <c r="F454" s="20" t="s">
        <v>61</v>
      </c>
      <c r="G454" s="20">
        <v>5.0</v>
      </c>
      <c r="H454" s="20">
        <v>12.5</v>
      </c>
      <c r="I454" s="21">
        <f>G454*H454</f>
        <v>62.5</v>
      </c>
    </row>
    <row r="455" ht="20.25" customHeight="1">
      <c r="A455" s="20">
        <v>2026.0</v>
      </c>
      <c r="B455" s="20">
        <v>4.0</v>
      </c>
      <c r="C455" s="20" t="s">
        <v>229</v>
      </c>
      <c r="D455" s="20" t="s">
        <v>88</v>
      </c>
      <c r="E455" s="20" t="s">
        <v>17</v>
      </c>
      <c r="F455" s="20" t="s">
        <v>61</v>
      </c>
      <c r="G455" s="20">
        <v>21.5</v>
      </c>
      <c r="H455" s="20">
        <v>13.3</v>
      </c>
      <c r="I455" s="21">
        <v>285.95</v>
      </c>
    </row>
    <row r="456" ht="20.25" customHeight="1">
      <c r="A456" s="20">
        <v>2026.0</v>
      </c>
      <c r="B456" s="20">
        <v>5.0</v>
      </c>
      <c r="C456" s="20" t="s">
        <v>229</v>
      </c>
      <c r="D456" s="20" t="s">
        <v>88</v>
      </c>
      <c r="E456" s="20" t="s">
        <v>17</v>
      </c>
      <c r="F456" s="20" t="s">
        <v>61</v>
      </c>
      <c r="G456" s="20">
        <v>13.0</v>
      </c>
      <c r="H456" s="20">
        <v>13.3</v>
      </c>
      <c r="I456" s="21">
        <v>172.9</v>
      </c>
    </row>
    <row r="457" ht="20.25" customHeight="1">
      <c r="A457" s="20">
        <v>2026.0</v>
      </c>
      <c r="B457" s="20">
        <v>6.0</v>
      </c>
      <c r="C457" s="20" t="s">
        <v>229</v>
      </c>
      <c r="D457" s="20" t="s">
        <v>88</v>
      </c>
      <c r="E457" s="20" t="s">
        <v>17</v>
      </c>
      <c r="F457" s="20" t="s">
        <v>61</v>
      </c>
      <c r="G457" s="20">
        <v>3.0</v>
      </c>
      <c r="H457" s="20">
        <v>13.3</v>
      </c>
      <c r="I457" s="21">
        <v>39.9</v>
      </c>
    </row>
    <row r="458" ht="20.25" customHeight="1">
      <c r="A458" s="20">
        <v>2026.0</v>
      </c>
      <c r="B458" s="20">
        <v>6.0</v>
      </c>
      <c r="C458" s="20" t="s">
        <v>229</v>
      </c>
      <c r="D458" s="20" t="s">
        <v>88</v>
      </c>
      <c r="E458" s="20" t="s">
        <v>17</v>
      </c>
      <c r="F458" s="20" t="s">
        <v>61</v>
      </c>
      <c r="G458" s="20">
        <v>11.0</v>
      </c>
      <c r="H458" s="20">
        <v>13.3</v>
      </c>
      <c r="I458" s="21">
        <v>146.3</v>
      </c>
    </row>
    <row r="459" ht="20.25" customHeight="1">
      <c r="A459" s="20">
        <v>2026.0</v>
      </c>
      <c r="B459" s="20">
        <v>6.0</v>
      </c>
      <c r="C459" s="20" t="s">
        <v>87</v>
      </c>
      <c r="D459" s="20" t="s">
        <v>88</v>
      </c>
      <c r="E459" s="20" t="s">
        <v>26</v>
      </c>
      <c r="F459" s="20" t="s">
        <v>61</v>
      </c>
      <c r="G459" s="20">
        <v>7.0</v>
      </c>
      <c r="H459" s="20">
        <v>24.2</v>
      </c>
      <c r="I459" s="21">
        <v>169.4</v>
      </c>
    </row>
    <row r="460" ht="20.25" customHeight="1">
      <c r="A460" s="20">
        <v>2026.0</v>
      </c>
      <c r="B460" s="20">
        <v>4.0</v>
      </c>
      <c r="C460" s="20" t="s">
        <v>230</v>
      </c>
      <c r="D460" s="20" t="s">
        <v>37</v>
      </c>
      <c r="E460" s="20" t="s">
        <v>26</v>
      </c>
      <c r="F460" s="20" t="s">
        <v>61</v>
      </c>
      <c r="G460" s="20">
        <v>16.0</v>
      </c>
      <c r="H460" s="20">
        <v>16.5</v>
      </c>
      <c r="I460" s="21">
        <v>264.0</v>
      </c>
    </row>
    <row r="461" ht="20.25" customHeight="1">
      <c r="A461" s="20">
        <v>2026.0</v>
      </c>
      <c r="B461" s="20">
        <v>4.0</v>
      </c>
      <c r="C461" s="20" t="s">
        <v>230</v>
      </c>
      <c r="D461" s="20" t="s">
        <v>37</v>
      </c>
      <c r="E461" s="20" t="s">
        <v>38</v>
      </c>
      <c r="F461" s="20" t="s">
        <v>61</v>
      </c>
      <c r="G461" s="20">
        <v>16.0</v>
      </c>
      <c r="H461" s="20">
        <v>3.5</v>
      </c>
      <c r="I461" s="21">
        <v>56.0</v>
      </c>
    </row>
    <row r="462" ht="20.25" customHeight="1">
      <c r="A462" s="20">
        <v>2026.0</v>
      </c>
      <c r="B462" s="20">
        <v>5.0</v>
      </c>
      <c r="C462" s="20" t="s">
        <v>230</v>
      </c>
      <c r="D462" s="20" t="s">
        <v>37</v>
      </c>
      <c r="E462" s="20" t="s">
        <v>26</v>
      </c>
      <c r="F462" s="20" t="s">
        <v>61</v>
      </c>
      <c r="G462" s="20">
        <v>4.0</v>
      </c>
      <c r="H462" s="20">
        <v>16.5</v>
      </c>
      <c r="I462" s="21">
        <v>66.0</v>
      </c>
    </row>
    <row r="463" ht="20.25" customHeight="1">
      <c r="A463" s="20">
        <v>2026.0</v>
      </c>
      <c r="B463" s="20">
        <v>5.0</v>
      </c>
      <c r="C463" s="20" t="s">
        <v>230</v>
      </c>
      <c r="D463" s="20" t="s">
        <v>37</v>
      </c>
      <c r="E463" s="20" t="s">
        <v>38</v>
      </c>
      <c r="F463" s="20" t="s">
        <v>61</v>
      </c>
      <c r="G463" s="20">
        <v>4.0</v>
      </c>
      <c r="H463" s="20">
        <v>3.5</v>
      </c>
      <c r="I463" s="21">
        <v>14.0</v>
      </c>
    </row>
    <row r="464" ht="20.25" customHeight="1">
      <c r="A464" s="20">
        <v>2026.0</v>
      </c>
      <c r="B464" s="20">
        <v>6.0</v>
      </c>
      <c r="C464" s="20" t="s">
        <v>230</v>
      </c>
      <c r="D464" s="20" t="s">
        <v>37</v>
      </c>
      <c r="E464" s="20" t="s">
        <v>26</v>
      </c>
      <c r="F464" s="20" t="s">
        <v>61</v>
      </c>
      <c r="G464" s="20">
        <v>21.0</v>
      </c>
      <c r="H464" s="20">
        <v>16.5</v>
      </c>
      <c r="I464" s="21">
        <v>346.5</v>
      </c>
    </row>
    <row r="465" ht="20.25" customHeight="1">
      <c r="A465" s="20">
        <v>2026.0</v>
      </c>
      <c r="B465" s="20">
        <v>6.0</v>
      </c>
      <c r="C465" s="20" t="s">
        <v>230</v>
      </c>
      <c r="D465" s="20" t="s">
        <v>37</v>
      </c>
      <c r="E465" s="20" t="s">
        <v>38</v>
      </c>
      <c r="F465" s="20" t="s">
        <v>61</v>
      </c>
      <c r="G465" s="20">
        <v>21.0</v>
      </c>
      <c r="H465" s="20">
        <v>3.5</v>
      </c>
      <c r="I465" s="21">
        <v>73.5</v>
      </c>
    </row>
    <row r="466" ht="20.25" customHeight="1">
      <c r="A466" s="20">
        <v>2026.0</v>
      </c>
      <c r="B466" s="20">
        <v>4.0</v>
      </c>
      <c r="C466" s="20" t="s">
        <v>231</v>
      </c>
      <c r="D466" s="20" t="s">
        <v>38</v>
      </c>
      <c r="E466" s="20" t="s">
        <v>26</v>
      </c>
      <c r="F466" s="20" t="s">
        <v>61</v>
      </c>
      <c r="G466" s="20">
        <v>20.0</v>
      </c>
      <c r="H466" s="20">
        <v>12.5</v>
      </c>
      <c r="I466" s="21">
        <v>250.0</v>
      </c>
    </row>
    <row r="467" ht="20.25" customHeight="1">
      <c r="A467" s="20">
        <v>2026.0</v>
      </c>
      <c r="B467" s="20">
        <v>5.0</v>
      </c>
      <c r="C467" s="20" t="s">
        <v>231</v>
      </c>
      <c r="D467" s="20" t="s">
        <v>38</v>
      </c>
      <c r="E467" s="20" t="s">
        <v>26</v>
      </c>
      <c r="F467" s="20" t="s">
        <v>61</v>
      </c>
      <c r="G467" s="20">
        <v>13.0</v>
      </c>
      <c r="H467" s="20">
        <v>12.5</v>
      </c>
      <c r="I467" s="21">
        <v>162.5</v>
      </c>
    </row>
    <row r="468" ht="20.25" customHeight="1">
      <c r="A468" s="20">
        <v>2026.0</v>
      </c>
      <c r="B468" s="20">
        <v>6.0</v>
      </c>
      <c r="C468" s="20" t="s">
        <v>231</v>
      </c>
      <c r="D468" s="20" t="s">
        <v>38</v>
      </c>
      <c r="E468" s="20" t="s">
        <v>26</v>
      </c>
      <c r="F468" s="20" t="s">
        <v>61</v>
      </c>
      <c r="G468" s="20">
        <v>22.0</v>
      </c>
      <c r="H468" s="20">
        <v>12.5</v>
      </c>
      <c r="I468" s="21">
        <v>275.0</v>
      </c>
    </row>
    <row r="469" ht="20.25" customHeight="1">
      <c r="A469" s="20">
        <v>2026.0</v>
      </c>
      <c r="B469" s="20">
        <v>6.0</v>
      </c>
      <c r="C469" s="20" t="s">
        <v>205</v>
      </c>
      <c r="D469" s="20" t="s">
        <v>33</v>
      </c>
      <c r="E469" s="20" t="s">
        <v>15</v>
      </c>
      <c r="F469" s="20" t="s">
        <v>61</v>
      </c>
      <c r="G469" s="20">
        <v>22.0</v>
      </c>
      <c r="H469" s="20">
        <v>28.8</v>
      </c>
      <c r="I469" s="21">
        <v>633.6</v>
      </c>
    </row>
    <row r="470" ht="20.25" customHeight="1">
      <c r="A470" s="20">
        <v>2026.0</v>
      </c>
      <c r="B470" s="20">
        <v>4.0</v>
      </c>
      <c r="C470" s="20" t="s">
        <v>196</v>
      </c>
      <c r="D470" s="20" t="s">
        <v>233</v>
      </c>
      <c r="E470" s="20" t="s">
        <v>43</v>
      </c>
      <c r="F470" s="20" t="s">
        <v>61</v>
      </c>
      <c r="G470" s="20">
        <v>19.5</v>
      </c>
      <c r="H470" s="20">
        <v>9.7</v>
      </c>
      <c r="I470" s="21">
        <v>189.15</v>
      </c>
    </row>
    <row r="471" ht="20.25" customHeight="1">
      <c r="A471" s="20">
        <v>2026.0</v>
      </c>
      <c r="B471" s="20">
        <v>4.0</v>
      </c>
      <c r="C471" s="20" t="s">
        <v>219</v>
      </c>
      <c r="D471" s="20" t="s">
        <v>35</v>
      </c>
      <c r="E471" s="20" t="s">
        <v>15</v>
      </c>
      <c r="F471" s="20" t="s">
        <v>61</v>
      </c>
      <c r="G471" s="20">
        <v>22.75</v>
      </c>
      <c r="H471" s="20">
        <v>6.7</v>
      </c>
      <c r="I471" s="21">
        <v>152.42</v>
      </c>
    </row>
    <row r="472" ht="20.25" customHeight="1">
      <c r="A472" s="20">
        <v>2026.0</v>
      </c>
      <c r="B472" s="20">
        <v>5.0</v>
      </c>
      <c r="C472" s="20" t="s">
        <v>196</v>
      </c>
      <c r="D472" s="20" t="s">
        <v>233</v>
      </c>
      <c r="E472" s="20" t="s">
        <v>43</v>
      </c>
      <c r="F472" s="20" t="s">
        <v>61</v>
      </c>
      <c r="G472" s="20">
        <v>18.0</v>
      </c>
      <c r="H472" s="20">
        <v>9.7</v>
      </c>
      <c r="I472" s="21">
        <v>174.6</v>
      </c>
    </row>
    <row r="473" ht="20.25" customHeight="1">
      <c r="A473" s="20">
        <v>2026.0</v>
      </c>
      <c r="B473" s="20">
        <v>5.0</v>
      </c>
      <c r="C473" s="20" t="s">
        <v>219</v>
      </c>
      <c r="D473" s="20" t="s">
        <v>35</v>
      </c>
      <c r="E473" s="20" t="s">
        <v>15</v>
      </c>
      <c r="F473" s="20" t="s">
        <v>61</v>
      </c>
      <c r="G473" s="20">
        <v>15.0</v>
      </c>
      <c r="H473" s="20">
        <v>6.7</v>
      </c>
      <c r="I473" s="21">
        <v>100.5</v>
      </c>
    </row>
    <row r="474" ht="20.25" customHeight="1">
      <c r="A474" s="20">
        <v>2026.0</v>
      </c>
      <c r="B474" s="20">
        <v>6.0</v>
      </c>
      <c r="C474" s="20" t="s">
        <v>196</v>
      </c>
      <c r="D474" s="20" t="s">
        <v>233</v>
      </c>
      <c r="E474" s="20" t="s">
        <v>43</v>
      </c>
      <c r="F474" s="20" t="s">
        <v>61</v>
      </c>
      <c r="G474" s="20">
        <v>11.0</v>
      </c>
      <c r="H474" s="20">
        <v>9.7</v>
      </c>
      <c r="I474" s="21">
        <v>106.7</v>
      </c>
    </row>
    <row r="475" ht="20.25" customHeight="1">
      <c r="A475" s="20">
        <v>2026.0</v>
      </c>
      <c r="B475" s="20">
        <v>4.0</v>
      </c>
      <c r="C475" s="20" t="s">
        <v>234</v>
      </c>
      <c r="D475" s="20" t="s">
        <v>40</v>
      </c>
      <c r="E475" s="20" t="s">
        <v>40</v>
      </c>
      <c r="F475" s="20" t="s">
        <v>61</v>
      </c>
      <c r="G475" s="20">
        <v>1.0</v>
      </c>
      <c r="H475" s="20">
        <v>10.0</v>
      </c>
      <c r="I475" s="21">
        <v>10.0</v>
      </c>
    </row>
    <row r="476" ht="20.25" customHeight="1">
      <c r="A476" s="20">
        <v>2026.0</v>
      </c>
      <c r="B476" s="20">
        <v>4.0</v>
      </c>
      <c r="C476" s="20" t="s">
        <v>234</v>
      </c>
      <c r="D476" s="20" t="s">
        <v>40</v>
      </c>
      <c r="E476" s="20" t="s">
        <v>40</v>
      </c>
      <c r="F476" s="20" t="s">
        <v>61</v>
      </c>
      <c r="G476" s="20">
        <v>23.0</v>
      </c>
      <c r="H476" s="20">
        <v>10.0</v>
      </c>
      <c r="I476" s="21">
        <v>230.0</v>
      </c>
    </row>
    <row r="477" ht="20.25" customHeight="1">
      <c r="A477" s="20">
        <v>2026.0</v>
      </c>
      <c r="B477" s="20">
        <v>5.0</v>
      </c>
      <c r="C477" s="20" t="s">
        <v>234</v>
      </c>
      <c r="D477" s="20" t="s">
        <v>40</v>
      </c>
      <c r="E477" s="20" t="s">
        <v>40</v>
      </c>
      <c r="F477" s="20" t="s">
        <v>61</v>
      </c>
      <c r="G477" s="20">
        <v>17.0</v>
      </c>
      <c r="H477" s="20">
        <v>10.0</v>
      </c>
      <c r="I477" s="21">
        <v>170.0</v>
      </c>
    </row>
    <row r="478" ht="20.25" customHeight="1">
      <c r="A478" s="20">
        <v>2026.0</v>
      </c>
      <c r="B478" s="20">
        <v>6.0</v>
      </c>
      <c r="C478" s="20" t="s">
        <v>234</v>
      </c>
      <c r="D478" s="20" t="s">
        <v>40</v>
      </c>
      <c r="E478" s="20" t="s">
        <v>40</v>
      </c>
      <c r="F478" s="20" t="s">
        <v>61</v>
      </c>
      <c r="G478" s="20">
        <v>24.0</v>
      </c>
      <c r="H478" s="20">
        <v>10.0</v>
      </c>
      <c r="I478" s="21">
        <v>240.0</v>
      </c>
    </row>
    <row r="479" ht="20.25" customHeight="1">
      <c r="A479" s="20">
        <v>2026.0</v>
      </c>
      <c r="B479" s="20">
        <v>4.0</v>
      </c>
      <c r="C479" s="20" t="s">
        <v>235</v>
      </c>
      <c r="D479" s="20" t="s">
        <v>236</v>
      </c>
      <c r="E479" s="20" t="s">
        <v>17</v>
      </c>
      <c r="F479" s="20" t="s">
        <v>61</v>
      </c>
      <c r="G479" s="20">
        <v>21.0</v>
      </c>
      <c r="H479" s="20">
        <v>20.0</v>
      </c>
      <c r="I479" s="21">
        <v>420.0</v>
      </c>
    </row>
    <row r="480" ht="20.25" customHeight="1">
      <c r="A480" s="20">
        <v>2026.0</v>
      </c>
      <c r="B480" s="20">
        <v>5.0</v>
      </c>
      <c r="C480" s="20" t="s">
        <v>235</v>
      </c>
      <c r="D480" s="20" t="s">
        <v>236</v>
      </c>
      <c r="E480" s="20" t="s">
        <v>17</v>
      </c>
      <c r="F480" s="20" t="s">
        <v>61</v>
      </c>
      <c r="G480" s="20">
        <v>17.0</v>
      </c>
      <c r="H480" s="20">
        <v>20.0</v>
      </c>
      <c r="I480" s="21">
        <v>340.0</v>
      </c>
    </row>
    <row r="481" ht="20.25" customHeight="1">
      <c r="A481" s="20">
        <v>2026.0</v>
      </c>
      <c r="B481" s="20">
        <v>6.0</v>
      </c>
      <c r="C481" s="20" t="s">
        <v>235</v>
      </c>
      <c r="D481" s="20" t="s">
        <v>236</v>
      </c>
      <c r="E481" s="20" t="s">
        <v>17</v>
      </c>
      <c r="F481" s="20" t="s">
        <v>61</v>
      </c>
      <c r="G481" s="20">
        <v>6.5</v>
      </c>
      <c r="H481" s="20">
        <v>20.0</v>
      </c>
      <c r="I481" s="21">
        <v>130.0</v>
      </c>
    </row>
    <row r="482" ht="20.25" customHeight="1">
      <c r="A482" s="20">
        <v>2026.0</v>
      </c>
      <c r="B482" s="20">
        <v>6.0</v>
      </c>
      <c r="C482" s="20" t="s">
        <v>235</v>
      </c>
      <c r="D482" s="20" t="s">
        <v>236</v>
      </c>
      <c r="E482" s="20" t="s">
        <v>17</v>
      </c>
      <c r="F482" s="20" t="s">
        <v>61</v>
      </c>
      <c r="G482" s="20">
        <v>9.5</v>
      </c>
      <c r="H482" s="20">
        <v>20.0</v>
      </c>
      <c r="I482" s="21">
        <v>190.0</v>
      </c>
    </row>
    <row r="483" ht="20.25" customHeight="1">
      <c r="A483" s="20">
        <v>2026.0</v>
      </c>
      <c r="B483" s="20">
        <v>6.0</v>
      </c>
      <c r="C483" s="20" t="s">
        <v>219</v>
      </c>
      <c r="D483" s="20" t="s">
        <v>35</v>
      </c>
      <c r="E483" s="20" t="s">
        <v>15</v>
      </c>
      <c r="F483" s="20" t="s">
        <v>61</v>
      </c>
      <c r="G483" s="20">
        <v>22.25</v>
      </c>
      <c r="H483" s="20">
        <v>6.7</v>
      </c>
      <c r="I483" s="21">
        <v>149.07</v>
      </c>
    </row>
    <row r="484" ht="20.25" customHeight="1">
      <c r="A484" s="20">
        <v>2026.0</v>
      </c>
      <c r="B484" s="20">
        <v>4.0</v>
      </c>
      <c r="C484" s="20" t="s">
        <v>238</v>
      </c>
      <c r="D484" s="20" t="s">
        <v>41</v>
      </c>
      <c r="E484" s="20" t="s">
        <v>28</v>
      </c>
      <c r="F484" s="20" t="s">
        <v>61</v>
      </c>
      <c r="G484" s="20">
        <v>21.0</v>
      </c>
      <c r="H484" s="20">
        <v>22.4</v>
      </c>
      <c r="I484" s="21">
        <v>470.4</v>
      </c>
    </row>
    <row r="485" ht="20.25" customHeight="1">
      <c r="A485" s="20">
        <v>2026.0</v>
      </c>
      <c r="B485" s="20">
        <v>4.0</v>
      </c>
      <c r="C485" s="20" t="s">
        <v>238</v>
      </c>
      <c r="D485" s="20" t="s">
        <v>15</v>
      </c>
      <c r="E485" s="20" t="s">
        <v>15</v>
      </c>
      <c r="F485" s="20" t="s">
        <v>61</v>
      </c>
      <c r="G485" s="20">
        <v>3.5</v>
      </c>
      <c r="H485" s="20">
        <v>53.3</v>
      </c>
      <c r="I485" s="21">
        <v>186.55</v>
      </c>
    </row>
    <row r="486" ht="20.25" customHeight="1">
      <c r="A486" s="20">
        <v>2026.0</v>
      </c>
      <c r="B486" s="20">
        <v>5.0</v>
      </c>
      <c r="C486" s="20" t="s">
        <v>238</v>
      </c>
      <c r="D486" s="20" t="s">
        <v>41</v>
      </c>
      <c r="E486" s="20" t="s">
        <v>28</v>
      </c>
      <c r="F486" s="20" t="s">
        <v>61</v>
      </c>
      <c r="G486" s="20">
        <v>13.0</v>
      </c>
      <c r="H486" s="20">
        <v>22.4</v>
      </c>
      <c r="I486" s="21">
        <v>291.2</v>
      </c>
    </row>
    <row r="487" ht="20.25" customHeight="1">
      <c r="A487" s="20">
        <v>2026.0</v>
      </c>
      <c r="B487" s="20">
        <v>5.0</v>
      </c>
      <c r="C487" s="20" t="s">
        <v>238</v>
      </c>
      <c r="D487" s="20" t="s">
        <v>15</v>
      </c>
      <c r="E487" s="20" t="s">
        <v>15</v>
      </c>
      <c r="F487" s="20" t="s">
        <v>61</v>
      </c>
      <c r="G487" s="20">
        <v>6.5</v>
      </c>
      <c r="H487" s="20">
        <v>53.3</v>
      </c>
      <c r="I487" s="21">
        <v>346.45</v>
      </c>
    </row>
    <row r="488" ht="20.25" customHeight="1">
      <c r="A488" s="20">
        <v>2026.0</v>
      </c>
      <c r="B488" s="20">
        <v>6.0</v>
      </c>
      <c r="C488" s="20" t="s">
        <v>238</v>
      </c>
      <c r="D488" s="20" t="s">
        <v>41</v>
      </c>
      <c r="E488" s="20" t="s">
        <v>28</v>
      </c>
      <c r="F488" s="20" t="s">
        <v>61</v>
      </c>
      <c r="G488" s="20">
        <v>22.0</v>
      </c>
      <c r="H488" s="20">
        <v>22.4</v>
      </c>
      <c r="I488" s="21">
        <v>492.8</v>
      </c>
    </row>
    <row r="489" ht="20.25" customHeight="1">
      <c r="A489" s="20">
        <v>2026.0</v>
      </c>
      <c r="B489" s="20">
        <v>4.0</v>
      </c>
      <c r="C489" s="20" t="s">
        <v>239</v>
      </c>
      <c r="D489" s="20" t="s">
        <v>240</v>
      </c>
      <c r="E489" s="20" t="s">
        <v>17</v>
      </c>
      <c r="F489" s="20" t="s">
        <v>61</v>
      </c>
      <c r="G489" s="20">
        <v>3.0</v>
      </c>
      <c r="H489" s="20">
        <v>40.5</v>
      </c>
      <c r="I489" s="21">
        <v>121.5</v>
      </c>
    </row>
    <row r="490" ht="20.25" customHeight="1">
      <c r="A490" s="20">
        <v>2026.0</v>
      </c>
      <c r="B490" s="20">
        <v>4.0</v>
      </c>
      <c r="C490" s="20" t="s">
        <v>220</v>
      </c>
      <c r="D490" s="20" t="s">
        <v>241</v>
      </c>
      <c r="E490" s="20" t="s">
        <v>31</v>
      </c>
      <c r="F490" s="20" t="s">
        <v>61</v>
      </c>
      <c r="G490" s="20">
        <v>20.0</v>
      </c>
      <c r="H490" s="20">
        <v>41.5</v>
      </c>
      <c r="I490" s="21">
        <v>830.0</v>
      </c>
    </row>
    <row r="491" ht="20.25" customHeight="1">
      <c r="A491" s="20">
        <v>2026.0</v>
      </c>
      <c r="B491" s="20">
        <v>5.0</v>
      </c>
      <c r="C491" s="20" t="s">
        <v>220</v>
      </c>
      <c r="D491" s="20" t="s">
        <v>241</v>
      </c>
      <c r="E491" s="20" t="s">
        <v>31</v>
      </c>
      <c r="F491" s="20" t="s">
        <v>61</v>
      </c>
      <c r="G491" s="20">
        <v>17.0</v>
      </c>
      <c r="H491" s="20">
        <v>41.5</v>
      </c>
      <c r="I491" s="21">
        <v>705.5</v>
      </c>
    </row>
    <row r="492" ht="20.25" customHeight="1">
      <c r="A492" s="20">
        <v>2026.0</v>
      </c>
      <c r="B492" s="20">
        <v>6.0</v>
      </c>
      <c r="C492" s="20" t="s">
        <v>220</v>
      </c>
      <c r="D492" s="20" t="s">
        <v>241</v>
      </c>
      <c r="E492" s="20" t="s">
        <v>31</v>
      </c>
      <c r="F492" s="20" t="s">
        <v>61</v>
      </c>
      <c r="G492" s="20">
        <v>20.0</v>
      </c>
      <c r="H492" s="20">
        <v>41.5</v>
      </c>
      <c r="I492" s="21">
        <v>830.0</v>
      </c>
    </row>
    <row r="493" ht="20.25" customHeight="1">
      <c r="A493" s="20">
        <v>2026.0</v>
      </c>
      <c r="B493" s="20">
        <v>4.0</v>
      </c>
      <c r="C493" s="20" t="s">
        <v>242</v>
      </c>
      <c r="D493" s="20" t="s">
        <v>243</v>
      </c>
      <c r="E493" s="20" t="s">
        <v>17</v>
      </c>
      <c r="F493" s="20" t="s">
        <v>61</v>
      </c>
      <c r="G493" s="20">
        <v>16.0</v>
      </c>
      <c r="H493" s="20">
        <v>10.0</v>
      </c>
      <c r="I493" s="21">
        <v>160.0</v>
      </c>
    </row>
    <row r="494" ht="20.25" customHeight="1">
      <c r="A494" s="20">
        <v>2026.0</v>
      </c>
      <c r="B494" s="20">
        <v>5.0</v>
      </c>
      <c r="C494" s="20" t="s">
        <v>242</v>
      </c>
      <c r="D494" s="20" t="s">
        <v>243</v>
      </c>
      <c r="E494" s="20" t="s">
        <v>17</v>
      </c>
      <c r="F494" s="20" t="s">
        <v>61</v>
      </c>
      <c r="G494" s="20">
        <v>18.0</v>
      </c>
      <c r="H494" s="20">
        <v>10.0</v>
      </c>
      <c r="I494" s="21">
        <v>180.0</v>
      </c>
    </row>
    <row r="495" ht="20.25" customHeight="1">
      <c r="A495" s="20">
        <v>2026.0</v>
      </c>
      <c r="B495" s="20">
        <v>6.0</v>
      </c>
      <c r="C495" s="20" t="s">
        <v>242</v>
      </c>
      <c r="D495" s="20" t="s">
        <v>243</v>
      </c>
      <c r="E495" s="20" t="s">
        <v>17</v>
      </c>
      <c r="F495" s="20" t="s">
        <v>61</v>
      </c>
      <c r="G495" s="20">
        <v>22.0</v>
      </c>
      <c r="H495" s="20">
        <v>10.0</v>
      </c>
      <c r="I495" s="21">
        <v>220.0</v>
      </c>
    </row>
    <row r="496" ht="20.25" customHeight="1">
      <c r="A496" s="20">
        <v>2026.0</v>
      </c>
      <c r="B496" s="20">
        <v>4.0</v>
      </c>
      <c r="C496" s="20" t="s">
        <v>238</v>
      </c>
      <c r="D496" s="20" t="s">
        <v>41</v>
      </c>
      <c r="E496" s="20" t="s">
        <v>15</v>
      </c>
      <c r="F496" s="20" t="s">
        <v>61</v>
      </c>
      <c r="G496" s="20">
        <v>21.0</v>
      </c>
      <c r="H496" s="20">
        <v>41.7</v>
      </c>
      <c r="I496" s="21">
        <v>875.7</v>
      </c>
    </row>
    <row r="497" ht="20.25" customHeight="1">
      <c r="A497" s="20">
        <v>2026.0</v>
      </c>
      <c r="B497" s="20">
        <v>5.0</v>
      </c>
      <c r="C497" s="20" t="s">
        <v>238</v>
      </c>
      <c r="D497" s="20" t="s">
        <v>41</v>
      </c>
      <c r="E497" s="20" t="s">
        <v>15</v>
      </c>
      <c r="F497" s="20" t="s">
        <v>61</v>
      </c>
      <c r="G497" s="20">
        <v>13.0</v>
      </c>
      <c r="H497" s="20">
        <v>41.7</v>
      </c>
      <c r="I497" s="21">
        <v>542.1</v>
      </c>
    </row>
    <row r="498" ht="20.25" customHeight="1">
      <c r="A498" s="20">
        <v>2026.0</v>
      </c>
      <c r="B498" s="20">
        <v>6.0</v>
      </c>
      <c r="C498" s="20" t="s">
        <v>238</v>
      </c>
      <c r="D498" s="20" t="s">
        <v>41</v>
      </c>
      <c r="E498" s="20" t="s">
        <v>15</v>
      </c>
      <c r="F498" s="20" t="s">
        <v>61</v>
      </c>
      <c r="G498" s="20">
        <v>22.0</v>
      </c>
      <c r="H498" s="20">
        <v>41.7</v>
      </c>
      <c r="I498" s="21">
        <v>917.4</v>
      </c>
    </row>
    <row r="499" ht="20.25" customHeight="1">
      <c r="A499" s="20">
        <v>2026.0</v>
      </c>
      <c r="B499" s="20">
        <v>4.0</v>
      </c>
      <c r="C499" s="20" t="s">
        <v>246</v>
      </c>
      <c r="D499" s="20" t="s">
        <v>247</v>
      </c>
      <c r="E499" s="20" t="s">
        <v>15</v>
      </c>
      <c r="F499" s="20" t="s">
        <v>61</v>
      </c>
      <c r="G499" s="20">
        <v>21.0</v>
      </c>
      <c r="H499" s="20">
        <v>31.5</v>
      </c>
      <c r="I499" s="21">
        <v>661.5</v>
      </c>
    </row>
    <row r="500" ht="20.25" customHeight="1">
      <c r="A500" s="20">
        <v>2026.0</v>
      </c>
      <c r="B500" s="20">
        <v>4.0</v>
      </c>
      <c r="C500" s="20" t="s">
        <v>249</v>
      </c>
      <c r="D500" s="20" t="s">
        <v>42</v>
      </c>
      <c r="E500" s="20" t="s">
        <v>28</v>
      </c>
      <c r="F500" s="20" t="s">
        <v>61</v>
      </c>
      <c r="G500" s="20">
        <v>20.0</v>
      </c>
      <c r="H500" s="20">
        <v>42.4</v>
      </c>
      <c r="I500" s="21">
        <v>848.0</v>
      </c>
    </row>
    <row r="501" ht="20.25" customHeight="1">
      <c r="A501" s="20">
        <v>2026.0</v>
      </c>
      <c r="B501" s="20">
        <v>5.0</v>
      </c>
      <c r="C501" s="20" t="s">
        <v>249</v>
      </c>
      <c r="D501" s="20" t="s">
        <v>42</v>
      </c>
      <c r="E501" s="20" t="s">
        <v>28</v>
      </c>
      <c r="F501" s="20" t="s">
        <v>61</v>
      </c>
      <c r="G501" s="20">
        <v>13.0</v>
      </c>
      <c r="H501" s="20">
        <v>42.4</v>
      </c>
      <c r="I501" s="21">
        <v>551.2</v>
      </c>
    </row>
    <row r="502" ht="20.25" customHeight="1">
      <c r="A502" s="20">
        <v>2026.0</v>
      </c>
      <c r="B502" s="20">
        <v>6.0</v>
      </c>
      <c r="C502" s="20" t="s">
        <v>249</v>
      </c>
      <c r="D502" s="20" t="s">
        <v>42</v>
      </c>
      <c r="E502" s="20" t="s">
        <v>28</v>
      </c>
      <c r="F502" s="20" t="s">
        <v>61</v>
      </c>
      <c r="G502" s="20">
        <v>21.0</v>
      </c>
      <c r="H502" s="20">
        <v>42.4</v>
      </c>
      <c r="I502" s="21">
        <v>890.4</v>
      </c>
    </row>
    <row r="503" ht="20.25" customHeight="1">
      <c r="A503" s="20">
        <v>2026.0</v>
      </c>
      <c r="B503" s="20">
        <v>5.0</v>
      </c>
      <c r="C503" s="20" t="s">
        <v>246</v>
      </c>
      <c r="D503" s="20" t="s">
        <v>247</v>
      </c>
      <c r="E503" s="20" t="s">
        <v>15</v>
      </c>
      <c r="F503" s="20" t="s">
        <v>61</v>
      </c>
      <c r="G503" s="20">
        <v>16.0</v>
      </c>
      <c r="H503" s="20">
        <v>31.5</v>
      </c>
      <c r="I503" s="21">
        <v>504.0</v>
      </c>
    </row>
    <row r="504" ht="20.25" customHeight="1">
      <c r="A504" s="20">
        <v>2026.0</v>
      </c>
      <c r="B504" s="20">
        <v>6.0</v>
      </c>
      <c r="C504" s="20" t="s">
        <v>246</v>
      </c>
      <c r="D504" s="20" t="s">
        <v>247</v>
      </c>
      <c r="E504" s="20" t="s">
        <v>15</v>
      </c>
      <c r="F504" s="20" t="s">
        <v>61</v>
      </c>
      <c r="G504" s="20">
        <v>3.0</v>
      </c>
      <c r="H504" s="20">
        <v>31.5</v>
      </c>
      <c r="I504" s="21">
        <v>94.5</v>
      </c>
    </row>
    <row r="505" ht="20.25" customHeight="1">
      <c r="A505" s="20">
        <v>2026.0</v>
      </c>
      <c r="B505" s="20">
        <v>6.0</v>
      </c>
      <c r="C505" s="20" t="s">
        <v>246</v>
      </c>
      <c r="D505" s="20" t="s">
        <v>247</v>
      </c>
      <c r="E505" s="20" t="s">
        <v>15</v>
      </c>
      <c r="F505" s="20" t="s">
        <v>61</v>
      </c>
      <c r="G505" s="20">
        <v>19.0</v>
      </c>
      <c r="H505" s="20">
        <v>31.5</v>
      </c>
      <c r="I505" s="21">
        <v>598.5</v>
      </c>
    </row>
    <row r="506" ht="20.25" customHeight="1">
      <c r="A506" s="20">
        <v>2026.0</v>
      </c>
      <c r="B506" s="20">
        <v>4.0</v>
      </c>
      <c r="C506" s="20" t="s">
        <v>250</v>
      </c>
      <c r="D506" s="20" t="s">
        <v>43</v>
      </c>
      <c r="E506" s="20" t="s">
        <v>15</v>
      </c>
      <c r="F506" s="20" t="s">
        <v>61</v>
      </c>
      <c r="G506" s="20">
        <v>21.0</v>
      </c>
      <c r="H506" s="20">
        <v>24.0</v>
      </c>
      <c r="I506" s="21">
        <v>504.0</v>
      </c>
    </row>
    <row r="507" ht="20.25" customHeight="1">
      <c r="A507" s="20">
        <v>2026.0</v>
      </c>
      <c r="B507" s="20">
        <v>5.0</v>
      </c>
      <c r="C507" s="20" t="s">
        <v>250</v>
      </c>
      <c r="D507" s="20" t="s">
        <v>43</v>
      </c>
      <c r="E507" s="20" t="s">
        <v>15</v>
      </c>
      <c r="F507" s="20" t="s">
        <v>61</v>
      </c>
      <c r="G507" s="20">
        <v>18.0</v>
      </c>
      <c r="H507" s="20">
        <v>24.0</v>
      </c>
      <c r="I507" s="21">
        <v>432.0</v>
      </c>
    </row>
    <row r="508" ht="20.25" customHeight="1">
      <c r="A508" s="20">
        <v>2026.0</v>
      </c>
      <c r="B508" s="20">
        <v>6.0</v>
      </c>
      <c r="C508" s="20" t="s">
        <v>250</v>
      </c>
      <c r="D508" s="20" t="s">
        <v>43</v>
      </c>
      <c r="E508" s="20" t="s">
        <v>15</v>
      </c>
      <c r="F508" s="20" t="s">
        <v>61</v>
      </c>
      <c r="G508" s="20">
        <v>22.0</v>
      </c>
      <c r="H508" s="20">
        <v>24.0</v>
      </c>
      <c r="I508" s="21">
        <v>528.0</v>
      </c>
    </row>
    <row r="509" ht="20.25" customHeight="1">
      <c r="A509" s="20">
        <v>2026.0</v>
      </c>
      <c r="B509" s="20">
        <v>4.0</v>
      </c>
      <c r="C509" s="20" t="s">
        <v>252</v>
      </c>
      <c r="D509" s="20" t="s">
        <v>44</v>
      </c>
      <c r="E509" s="20" t="s">
        <v>15</v>
      </c>
      <c r="F509" s="20" t="s">
        <v>113</v>
      </c>
      <c r="G509" s="20">
        <v>21.0</v>
      </c>
      <c r="H509" s="20">
        <v>20.0</v>
      </c>
      <c r="I509" s="21">
        <v>420.0</v>
      </c>
    </row>
    <row r="510" ht="20.25" customHeight="1">
      <c r="A510" s="20">
        <v>2026.0</v>
      </c>
      <c r="B510" s="20">
        <v>5.0</v>
      </c>
      <c r="C510" s="20" t="s">
        <v>252</v>
      </c>
      <c r="D510" s="20" t="s">
        <v>44</v>
      </c>
      <c r="E510" s="20" t="s">
        <v>15</v>
      </c>
      <c r="F510" s="20" t="s">
        <v>113</v>
      </c>
      <c r="G510" s="20">
        <v>16.0</v>
      </c>
      <c r="H510" s="20">
        <v>20.0</v>
      </c>
      <c r="I510" s="21">
        <v>320.0</v>
      </c>
    </row>
    <row r="511" ht="20.25" customHeight="1">
      <c r="A511" s="20">
        <v>2026.0</v>
      </c>
      <c r="B511" s="20">
        <v>6.0</v>
      </c>
      <c r="C511" s="20" t="s">
        <v>252</v>
      </c>
      <c r="D511" s="20" t="s">
        <v>44</v>
      </c>
      <c r="E511" s="20" t="s">
        <v>15</v>
      </c>
      <c r="F511" s="20" t="s">
        <v>113</v>
      </c>
      <c r="G511" s="20">
        <v>21.0</v>
      </c>
      <c r="H511" s="20">
        <v>20.0</v>
      </c>
      <c r="I511" s="21">
        <v>420.0</v>
      </c>
    </row>
    <row r="512" ht="20.25" customHeight="1">
      <c r="A512" s="20">
        <v>2026.0</v>
      </c>
      <c r="B512" s="20">
        <v>4.0</v>
      </c>
      <c r="C512" s="20" t="s">
        <v>253</v>
      </c>
      <c r="D512" s="20" t="s">
        <v>254</v>
      </c>
      <c r="E512" s="20" t="s">
        <v>15</v>
      </c>
      <c r="F512" s="20" t="s">
        <v>61</v>
      </c>
      <c r="G512" s="20">
        <v>1.0</v>
      </c>
      <c r="H512" s="20">
        <v>99.0</v>
      </c>
      <c r="I512" s="21">
        <v>99.0</v>
      </c>
    </row>
    <row r="513" ht="20.25" customHeight="1">
      <c r="A513" s="20">
        <v>2026.0</v>
      </c>
      <c r="B513" s="20">
        <v>4.0</v>
      </c>
      <c r="C513" s="20" t="s">
        <v>206</v>
      </c>
      <c r="D513" s="20" t="s">
        <v>255</v>
      </c>
      <c r="E513" s="20" t="s">
        <v>28</v>
      </c>
      <c r="F513" s="20" t="s">
        <v>113</v>
      </c>
      <c r="G513" s="20">
        <v>18.0</v>
      </c>
      <c r="H513" s="20">
        <v>32.4</v>
      </c>
      <c r="I513" s="21">
        <v>583.2</v>
      </c>
    </row>
    <row r="514" ht="20.25" customHeight="1">
      <c r="A514" s="20">
        <v>2026.0</v>
      </c>
      <c r="B514" s="20">
        <v>4.0</v>
      </c>
      <c r="C514" s="20" t="s">
        <v>206</v>
      </c>
      <c r="D514" s="20" t="s">
        <v>255</v>
      </c>
      <c r="E514" s="20" t="s">
        <v>42</v>
      </c>
      <c r="F514" s="20" t="s">
        <v>113</v>
      </c>
      <c r="G514" s="20">
        <v>18.0</v>
      </c>
      <c r="H514" s="20">
        <v>10.8</v>
      </c>
      <c r="I514" s="21">
        <v>194.4</v>
      </c>
    </row>
    <row r="515" ht="20.25" customHeight="1">
      <c r="A515" s="20">
        <v>2026.0</v>
      </c>
      <c r="B515" s="20">
        <v>5.0</v>
      </c>
      <c r="C515" s="20" t="s">
        <v>206</v>
      </c>
      <c r="D515" s="20" t="s">
        <v>255</v>
      </c>
      <c r="E515" s="20" t="s">
        <v>28</v>
      </c>
      <c r="F515" s="20" t="s">
        <v>113</v>
      </c>
      <c r="G515" s="20">
        <v>11.0</v>
      </c>
      <c r="H515" s="20">
        <v>32.4</v>
      </c>
      <c r="I515" s="21">
        <v>356.4</v>
      </c>
    </row>
    <row r="516" ht="20.25" customHeight="1">
      <c r="A516" s="20">
        <v>2026.0</v>
      </c>
      <c r="B516" s="20">
        <v>5.0</v>
      </c>
      <c r="C516" s="20" t="s">
        <v>206</v>
      </c>
      <c r="D516" s="20" t="s">
        <v>255</v>
      </c>
      <c r="E516" s="20" t="s">
        <v>42</v>
      </c>
      <c r="F516" s="20" t="s">
        <v>113</v>
      </c>
      <c r="G516" s="20">
        <v>11.0</v>
      </c>
      <c r="H516" s="20">
        <v>10.8</v>
      </c>
      <c r="I516" s="21">
        <v>118.8</v>
      </c>
    </row>
    <row r="517" ht="20.25" customHeight="1">
      <c r="A517" s="20">
        <v>2026.0</v>
      </c>
      <c r="B517" s="20">
        <v>6.0</v>
      </c>
      <c r="C517" s="20" t="s">
        <v>206</v>
      </c>
      <c r="D517" s="20" t="s">
        <v>255</v>
      </c>
      <c r="E517" s="20" t="s">
        <v>28</v>
      </c>
      <c r="F517" s="20" t="s">
        <v>113</v>
      </c>
      <c r="G517" s="20">
        <v>15.0</v>
      </c>
      <c r="H517" s="20">
        <v>32.4</v>
      </c>
      <c r="I517" s="21">
        <v>486.0</v>
      </c>
    </row>
    <row r="518" ht="20.25" customHeight="1">
      <c r="A518" s="20">
        <v>2026.0</v>
      </c>
      <c r="B518" s="20">
        <v>6.0</v>
      </c>
      <c r="C518" s="20" t="s">
        <v>206</v>
      </c>
      <c r="D518" s="20" t="s">
        <v>255</v>
      </c>
      <c r="E518" s="20" t="s">
        <v>42</v>
      </c>
      <c r="F518" s="20" t="s">
        <v>113</v>
      </c>
      <c r="G518" s="20">
        <v>15.0</v>
      </c>
      <c r="H518" s="20">
        <v>10.8</v>
      </c>
      <c r="I518" s="21">
        <v>162.0</v>
      </c>
    </row>
    <row r="519" ht="20.25" customHeight="1">
      <c r="A519" s="20">
        <v>2026.0</v>
      </c>
      <c r="B519" s="20">
        <v>4.0</v>
      </c>
      <c r="C519" s="20" t="s">
        <v>256</v>
      </c>
      <c r="D519" s="20" t="s">
        <v>257</v>
      </c>
      <c r="E519" s="20" t="s">
        <v>23</v>
      </c>
      <c r="F519" s="20" t="s">
        <v>61</v>
      </c>
      <c r="G519" s="20">
        <v>3.5</v>
      </c>
      <c r="H519" s="20">
        <v>41.7</v>
      </c>
      <c r="I519" s="21">
        <v>145.95</v>
      </c>
    </row>
    <row r="520" ht="20.25" customHeight="1">
      <c r="A520" s="20">
        <v>2026.0</v>
      </c>
      <c r="B520" s="20">
        <v>4.0</v>
      </c>
      <c r="C520" s="20" t="s">
        <v>256</v>
      </c>
      <c r="D520" s="20" t="s">
        <v>257</v>
      </c>
      <c r="E520" s="20" t="s">
        <v>23</v>
      </c>
      <c r="F520" s="20" t="s">
        <v>61</v>
      </c>
      <c r="G520" s="20">
        <v>16.5</v>
      </c>
      <c r="H520" s="20">
        <v>41.7</v>
      </c>
      <c r="I520" s="21">
        <v>688.05</v>
      </c>
    </row>
    <row r="521" ht="20.25" customHeight="1">
      <c r="A521" s="20">
        <v>2026.0</v>
      </c>
      <c r="B521" s="20">
        <v>5.0</v>
      </c>
      <c r="C521" s="20" t="s">
        <v>256</v>
      </c>
      <c r="D521" s="20" t="s">
        <v>257</v>
      </c>
      <c r="E521" s="20" t="s">
        <v>23</v>
      </c>
      <c r="F521" s="20" t="s">
        <v>61</v>
      </c>
      <c r="G521" s="20">
        <v>13.0</v>
      </c>
      <c r="H521" s="20">
        <v>41.7</v>
      </c>
      <c r="I521" s="21">
        <v>542.1</v>
      </c>
    </row>
    <row r="522" ht="20.25" customHeight="1">
      <c r="A522" s="20">
        <v>2026.0</v>
      </c>
      <c r="B522" s="20">
        <v>6.0</v>
      </c>
      <c r="C522" s="20" t="s">
        <v>256</v>
      </c>
      <c r="D522" s="20" t="s">
        <v>257</v>
      </c>
      <c r="E522" s="20" t="s">
        <v>23</v>
      </c>
      <c r="F522" s="20" t="s">
        <v>61</v>
      </c>
      <c r="G522" s="20">
        <v>19.0</v>
      </c>
      <c r="H522" s="20">
        <v>41.7</v>
      </c>
      <c r="I522" s="21">
        <v>792.3</v>
      </c>
    </row>
    <row r="523" ht="20.25" customHeight="1">
      <c r="A523" s="20">
        <v>2026.0</v>
      </c>
      <c r="B523" s="20">
        <v>4.0</v>
      </c>
      <c r="C523" s="20" t="s">
        <v>258</v>
      </c>
      <c r="D523" s="20" t="s">
        <v>259</v>
      </c>
      <c r="E523" s="20" t="s">
        <v>31</v>
      </c>
      <c r="F523" s="20" t="s">
        <v>113</v>
      </c>
      <c r="G523" s="20">
        <v>20.0</v>
      </c>
      <c r="H523" s="20">
        <v>91.8</v>
      </c>
      <c r="I523" s="21">
        <v>1836.0</v>
      </c>
    </row>
    <row r="524" ht="20.25" customHeight="1">
      <c r="A524" s="20">
        <v>2026.0</v>
      </c>
      <c r="B524" s="20">
        <v>5.0</v>
      </c>
      <c r="C524" s="20" t="s">
        <v>258</v>
      </c>
      <c r="D524" s="20" t="s">
        <v>259</v>
      </c>
      <c r="E524" s="20" t="s">
        <v>31</v>
      </c>
      <c r="F524" s="20" t="s">
        <v>113</v>
      </c>
      <c r="G524" s="20">
        <v>17.0</v>
      </c>
      <c r="H524" s="20">
        <v>91.8</v>
      </c>
      <c r="I524" s="21">
        <v>1560.6</v>
      </c>
    </row>
    <row r="525" ht="20.25" customHeight="1">
      <c r="A525" s="20">
        <v>2026.0</v>
      </c>
      <c r="B525" s="20">
        <v>6.0</v>
      </c>
      <c r="C525" s="20" t="s">
        <v>258</v>
      </c>
      <c r="D525" s="20" t="s">
        <v>259</v>
      </c>
      <c r="E525" s="20" t="s">
        <v>31</v>
      </c>
      <c r="F525" s="20" t="s">
        <v>113</v>
      </c>
      <c r="G525" s="20">
        <v>20.0</v>
      </c>
      <c r="H525" s="20">
        <v>91.8</v>
      </c>
      <c r="I525" s="21">
        <v>1836.0</v>
      </c>
    </row>
    <row r="526" ht="20.25" customHeight="1">
      <c r="A526" s="20">
        <v>2026.0</v>
      </c>
      <c r="B526" s="20">
        <v>4.0</v>
      </c>
      <c r="C526" s="20" t="s">
        <v>260</v>
      </c>
      <c r="D526" s="20" t="s">
        <v>261</v>
      </c>
      <c r="E526" s="20" t="s">
        <v>28</v>
      </c>
      <c r="F526" s="20" t="s">
        <v>61</v>
      </c>
      <c r="G526" s="20">
        <v>20.0</v>
      </c>
      <c r="H526" s="20">
        <v>4.0</v>
      </c>
      <c r="I526" s="21">
        <v>80.0</v>
      </c>
    </row>
    <row r="527" ht="20.25" customHeight="1">
      <c r="A527" s="20">
        <v>2026.0</v>
      </c>
      <c r="B527" s="20">
        <v>5.0</v>
      </c>
      <c r="C527" s="20" t="s">
        <v>260</v>
      </c>
      <c r="D527" s="20" t="s">
        <v>261</v>
      </c>
      <c r="E527" s="20" t="s">
        <v>28</v>
      </c>
      <c r="F527" s="20" t="s">
        <v>61</v>
      </c>
      <c r="G527" s="20">
        <v>15.0</v>
      </c>
      <c r="H527" s="20">
        <v>4.0</v>
      </c>
      <c r="I527" s="21">
        <v>60.0</v>
      </c>
    </row>
    <row r="528" ht="20.25" customHeight="1">
      <c r="A528" s="20">
        <v>2026.0</v>
      </c>
      <c r="B528" s="20">
        <v>6.0</v>
      </c>
      <c r="C528" s="20" t="s">
        <v>260</v>
      </c>
      <c r="D528" s="20" t="s">
        <v>261</v>
      </c>
      <c r="E528" s="20" t="s">
        <v>28</v>
      </c>
      <c r="F528" s="20" t="s">
        <v>61</v>
      </c>
      <c r="G528" s="20">
        <v>19.0</v>
      </c>
      <c r="H528" s="20">
        <v>4.0</v>
      </c>
      <c r="I528" s="21">
        <v>76.0</v>
      </c>
    </row>
    <row r="529" ht="20.25" customHeight="1">
      <c r="A529" s="20">
        <v>2026.0</v>
      </c>
      <c r="B529" s="20">
        <v>4.0</v>
      </c>
      <c r="C529" s="20" t="s">
        <v>253</v>
      </c>
      <c r="D529" s="20" t="s">
        <v>254</v>
      </c>
      <c r="E529" s="20" t="s">
        <v>15</v>
      </c>
      <c r="F529" s="20" t="s">
        <v>61</v>
      </c>
      <c r="G529" s="20">
        <v>20.0</v>
      </c>
      <c r="H529" s="20">
        <v>99.0</v>
      </c>
      <c r="I529" s="21">
        <v>1980.0</v>
      </c>
    </row>
    <row r="530" ht="20.25" customHeight="1">
      <c r="A530" s="20">
        <v>2026.0</v>
      </c>
      <c r="B530" s="20">
        <v>4.0</v>
      </c>
      <c r="C530" s="20" t="s">
        <v>262</v>
      </c>
      <c r="D530" s="20" t="s">
        <v>263</v>
      </c>
      <c r="E530" s="20" t="s">
        <v>35</v>
      </c>
      <c r="F530" s="20" t="s">
        <v>61</v>
      </c>
      <c r="G530" s="20">
        <v>20.0</v>
      </c>
      <c r="H530" s="20">
        <v>8.8</v>
      </c>
      <c r="I530" s="21">
        <v>176.0</v>
      </c>
    </row>
    <row r="531" ht="20.25" customHeight="1">
      <c r="A531" s="20">
        <v>2026.0</v>
      </c>
      <c r="B531" s="20">
        <v>5.0</v>
      </c>
      <c r="C531" s="20" t="s">
        <v>253</v>
      </c>
      <c r="D531" s="20" t="s">
        <v>254</v>
      </c>
      <c r="E531" s="20" t="s">
        <v>15</v>
      </c>
      <c r="F531" s="20" t="s">
        <v>61</v>
      </c>
      <c r="G531" s="20">
        <v>18.0</v>
      </c>
      <c r="H531" s="20">
        <v>99.0</v>
      </c>
      <c r="I531" s="21">
        <v>1782.0</v>
      </c>
    </row>
    <row r="532" ht="20.25" customHeight="1">
      <c r="A532" s="20">
        <v>2026.0</v>
      </c>
      <c r="B532" s="20">
        <v>5.0</v>
      </c>
      <c r="C532" s="20" t="s">
        <v>262</v>
      </c>
      <c r="D532" s="20" t="s">
        <v>263</v>
      </c>
      <c r="E532" s="20" t="s">
        <v>35</v>
      </c>
      <c r="F532" s="20" t="s">
        <v>61</v>
      </c>
      <c r="G532" s="20">
        <v>18.0</v>
      </c>
      <c r="H532" s="20">
        <v>8.8</v>
      </c>
      <c r="I532" s="21">
        <v>158.4</v>
      </c>
    </row>
    <row r="533" ht="20.25" customHeight="1">
      <c r="A533" s="20">
        <v>2026.0</v>
      </c>
      <c r="B533" s="20">
        <v>6.0</v>
      </c>
      <c r="C533" s="20" t="s">
        <v>253</v>
      </c>
      <c r="D533" s="20" t="s">
        <v>254</v>
      </c>
      <c r="E533" s="20" t="s">
        <v>15</v>
      </c>
      <c r="F533" s="20" t="s">
        <v>61</v>
      </c>
      <c r="G533" s="20">
        <v>22.0</v>
      </c>
      <c r="H533" s="20">
        <v>99.0</v>
      </c>
      <c r="I533" s="21">
        <v>2178.0</v>
      </c>
    </row>
    <row r="534" ht="20.25" customHeight="1">
      <c r="A534" s="20">
        <v>2026.0</v>
      </c>
      <c r="B534" s="20">
        <v>6.0</v>
      </c>
      <c r="C534" s="20" t="s">
        <v>262</v>
      </c>
      <c r="D534" s="20" t="s">
        <v>263</v>
      </c>
      <c r="E534" s="20" t="s">
        <v>35</v>
      </c>
      <c r="F534" s="20" t="s">
        <v>61</v>
      </c>
      <c r="G534" s="20">
        <v>22.0</v>
      </c>
      <c r="H534" s="20">
        <v>8.8</v>
      </c>
      <c r="I534" s="21">
        <v>193.6</v>
      </c>
    </row>
    <row r="535" ht="20.25" customHeight="1">
      <c r="A535" s="20">
        <v>2026.0</v>
      </c>
      <c r="B535" s="20">
        <v>4.0</v>
      </c>
      <c r="C535" s="20" t="s">
        <v>264</v>
      </c>
      <c r="D535" s="20" t="s">
        <v>45</v>
      </c>
      <c r="E535" s="20" t="s">
        <v>45</v>
      </c>
      <c r="F535" s="20" t="s">
        <v>61</v>
      </c>
      <c r="G535" s="20">
        <v>17.0</v>
      </c>
      <c r="H535" s="20">
        <v>12.0</v>
      </c>
      <c r="I535" s="21">
        <v>204.0</v>
      </c>
    </row>
    <row r="536" ht="20.25" customHeight="1">
      <c r="A536" s="20">
        <v>2026.0</v>
      </c>
      <c r="B536" s="20">
        <v>5.0</v>
      </c>
      <c r="C536" s="20" t="s">
        <v>264</v>
      </c>
      <c r="D536" s="20" t="s">
        <v>45</v>
      </c>
      <c r="E536" s="20" t="s">
        <v>45</v>
      </c>
      <c r="F536" s="20" t="s">
        <v>61</v>
      </c>
      <c r="G536" s="20">
        <v>18.0</v>
      </c>
      <c r="H536" s="20">
        <v>12.0</v>
      </c>
      <c r="I536" s="21">
        <v>216.0</v>
      </c>
    </row>
    <row r="537" ht="20.25" customHeight="1">
      <c r="A537" s="20">
        <v>2026.0</v>
      </c>
      <c r="B537" s="20">
        <v>6.0</v>
      </c>
      <c r="C537" s="20" t="s">
        <v>264</v>
      </c>
      <c r="D537" s="20" t="s">
        <v>45</v>
      </c>
      <c r="E537" s="20" t="s">
        <v>45</v>
      </c>
      <c r="F537" s="20" t="s">
        <v>61</v>
      </c>
      <c r="G537" s="20">
        <v>21.0</v>
      </c>
      <c r="H537" s="20">
        <v>12.0</v>
      </c>
      <c r="I537" s="21">
        <v>252.0</v>
      </c>
    </row>
    <row r="538" ht="20.25" customHeight="1">
      <c r="A538" s="20">
        <v>2026.0</v>
      </c>
      <c r="B538" s="20">
        <v>4.0</v>
      </c>
      <c r="C538" s="20" t="s">
        <v>265</v>
      </c>
      <c r="D538" s="20" t="s">
        <v>46</v>
      </c>
      <c r="E538" s="20" t="s">
        <v>28</v>
      </c>
      <c r="F538" s="20" t="s">
        <v>61</v>
      </c>
      <c r="G538" s="20">
        <v>12.0</v>
      </c>
      <c r="H538" s="20">
        <v>8.1</v>
      </c>
      <c r="I538" s="21">
        <v>97.2</v>
      </c>
    </row>
    <row r="539" ht="20.25" customHeight="1">
      <c r="A539" s="20">
        <v>2026.0</v>
      </c>
      <c r="B539" s="20">
        <v>4.0</v>
      </c>
      <c r="C539" s="20" t="s">
        <v>265</v>
      </c>
      <c r="D539" s="20" t="s">
        <v>46</v>
      </c>
      <c r="E539" s="20" t="s">
        <v>46</v>
      </c>
      <c r="F539" s="20" t="s">
        <v>61</v>
      </c>
      <c r="G539" s="20">
        <v>12.0</v>
      </c>
      <c r="H539" s="20">
        <v>13.0</v>
      </c>
      <c r="I539" s="21">
        <v>156.0</v>
      </c>
    </row>
    <row r="540" ht="20.25" customHeight="1">
      <c r="A540" s="20">
        <v>2026.0</v>
      </c>
      <c r="B540" s="20">
        <v>4.0</v>
      </c>
      <c r="C540" s="20" t="s">
        <v>74</v>
      </c>
      <c r="D540" s="20" t="s">
        <v>75</v>
      </c>
      <c r="E540" s="20" t="s">
        <v>17</v>
      </c>
      <c r="F540" s="20" t="s">
        <v>61</v>
      </c>
      <c r="G540" s="20">
        <v>19.0</v>
      </c>
      <c r="H540" s="20">
        <v>13.7</v>
      </c>
      <c r="I540" s="21">
        <v>260.3</v>
      </c>
    </row>
    <row r="541" ht="20.25" customHeight="1">
      <c r="A541" s="20">
        <v>2026.0</v>
      </c>
      <c r="B541" s="20">
        <v>5.0</v>
      </c>
      <c r="C541" s="20" t="s">
        <v>74</v>
      </c>
      <c r="D541" s="20" t="s">
        <v>75</v>
      </c>
      <c r="E541" s="20" t="s">
        <v>17</v>
      </c>
      <c r="F541" s="20" t="s">
        <v>61</v>
      </c>
      <c r="G541" s="20">
        <v>13.0</v>
      </c>
      <c r="H541" s="20">
        <v>13.7</v>
      </c>
      <c r="I541" s="21">
        <v>178.1</v>
      </c>
    </row>
    <row r="542" ht="20.25" customHeight="1">
      <c r="A542" s="20">
        <v>2026.0</v>
      </c>
      <c r="B542" s="20">
        <v>6.0</v>
      </c>
      <c r="C542" s="20" t="s">
        <v>74</v>
      </c>
      <c r="D542" s="20" t="s">
        <v>75</v>
      </c>
      <c r="E542" s="20" t="s">
        <v>17</v>
      </c>
      <c r="F542" s="20" t="s">
        <v>61</v>
      </c>
      <c r="G542" s="20">
        <v>19.0</v>
      </c>
      <c r="H542" s="20">
        <v>13.7</v>
      </c>
      <c r="I542" s="21">
        <v>260.3</v>
      </c>
    </row>
    <row r="543" ht="20.25" customHeight="1">
      <c r="A543" s="20">
        <v>2026.0</v>
      </c>
      <c r="B543" s="20">
        <v>4.0</v>
      </c>
      <c r="C543" s="20" t="s">
        <v>78</v>
      </c>
      <c r="D543" s="20" t="s">
        <v>79</v>
      </c>
      <c r="E543" s="20" t="s">
        <v>28</v>
      </c>
      <c r="F543" s="20" t="s">
        <v>113</v>
      </c>
      <c r="G543" s="20">
        <v>16.0</v>
      </c>
      <c r="H543" s="20">
        <v>42.1</v>
      </c>
      <c r="I543" s="21">
        <v>673.6</v>
      </c>
    </row>
    <row r="544" ht="20.25" customHeight="1">
      <c r="A544" s="20">
        <v>2026.0</v>
      </c>
      <c r="B544" s="20">
        <v>5.0</v>
      </c>
      <c r="C544" s="20" t="s">
        <v>78</v>
      </c>
      <c r="D544" s="20" t="s">
        <v>79</v>
      </c>
      <c r="E544" s="20" t="s">
        <v>28</v>
      </c>
      <c r="F544" s="20" t="s">
        <v>113</v>
      </c>
      <c r="G544" s="20">
        <v>17.5</v>
      </c>
      <c r="H544" s="20">
        <v>42.1</v>
      </c>
      <c r="I544" s="21">
        <v>736.75</v>
      </c>
    </row>
    <row r="545" ht="20.25" customHeight="1">
      <c r="A545" s="20">
        <v>2026.0</v>
      </c>
      <c r="B545" s="20">
        <v>6.0</v>
      </c>
      <c r="C545" s="20" t="s">
        <v>78</v>
      </c>
      <c r="D545" s="20" t="s">
        <v>79</v>
      </c>
      <c r="E545" s="20" t="s">
        <v>28</v>
      </c>
      <c r="F545" s="20" t="s">
        <v>113</v>
      </c>
      <c r="G545" s="20">
        <v>20.5</v>
      </c>
      <c r="H545" s="20">
        <v>42.1</v>
      </c>
      <c r="I545" s="21">
        <v>863.05</v>
      </c>
    </row>
    <row r="546" ht="20.25" customHeight="1">
      <c r="A546" s="20">
        <v>2026.0</v>
      </c>
      <c r="B546" s="20">
        <v>4.0</v>
      </c>
      <c r="C546" s="20" t="s">
        <v>262</v>
      </c>
      <c r="D546" s="20" t="s">
        <v>263</v>
      </c>
      <c r="E546" s="20" t="s">
        <v>15</v>
      </c>
      <c r="F546" s="20" t="s">
        <v>61</v>
      </c>
      <c r="G546" s="20">
        <v>20.0</v>
      </c>
      <c r="H546" s="20">
        <v>38.2</v>
      </c>
      <c r="I546" s="21">
        <v>764.0</v>
      </c>
    </row>
    <row r="547" ht="20.25" customHeight="1">
      <c r="A547" s="20">
        <v>2026.0</v>
      </c>
      <c r="B547" s="20">
        <v>5.0</v>
      </c>
      <c r="C547" s="20" t="s">
        <v>262</v>
      </c>
      <c r="D547" s="20" t="s">
        <v>263</v>
      </c>
      <c r="E547" s="20" t="s">
        <v>15</v>
      </c>
      <c r="F547" s="20" t="s">
        <v>61</v>
      </c>
      <c r="G547" s="20">
        <v>18.0</v>
      </c>
      <c r="H547" s="20">
        <v>38.2</v>
      </c>
      <c r="I547" s="21">
        <v>687.6</v>
      </c>
    </row>
    <row r="548" ht="20.25" customHeight="1">
      <c r="A548" s="20">
        <v>2026.0</v>
      </c>
      <c r="B548" s="20">
        <v>6.0</v>
      </c>
      <c r="C548" s="20" t="s">
        <v>262</v>
      </c>
      <c r="D548" s="20" t="s">
        <v>263</v>
      </c>
      <c r="E548" s="20" t="s">
        <v>15</v>
      </c>
      <c r="F548" s="20" t="s">
        <v>61</v>
      </c>
      <c r="G548" s="20">
        <v>22.0</v>
      </c>
      <c r="H548" s="20">
        <v>38.2</v>
      </c>
      <c r="I548" s="21">
        <v>840.4</v>
      </c>
    </row>
    <row r="549" ht="20.25" customHeight="1">
      <c r="A549" s="20">
        <v>2026.0</v>
      </c>
      <c r="B549" s="20">
        <v>4.0</v>
      </c>
      <c r="C549" s="20" t="s">
        <v>266</v>
      </c>
      <c r="D549" s="20" t="s">
        <v>267</v>
      </c>
      <c r="E549" s="20" t="s">
        <v>15</v>
      </c>
      <c r="F549" s="20" t="s">
        <v>61</v>
      </c>
      <c r="G549" s="20">
        <v>21.0</v>
      </c>
      <c r="H549" s="20">
        <v>14.5</v>
      </c>
      <c r="I549" s="21">
        <v>304.5</v>
      </c>
    </row>
    <row r="550" ht="20.25" customHeight="1">
      <c r="A550" s="20">
        <v>2026.0</v>
      </c>
      <c r="B550" s="20">
        <v>4.0</v>
      </c>
      <c r="C550" s="20" t="s">
        <v>62</v>
      </c>
      <c r="D550" s="20" t="s">
        <v>251</v>
      </c>
      <c r="E550" s="20" t="s">
        <v>35</v>
      </c>
      <c r="F550" s="20" t="s">
        <v>61</v>
      </c>
      <c r="G550" s="20">
        <v>20.0</v>
      </c>
      <c r="H550" s="20">
        <v>8.8</v>
      </c>
      <c r="I550" s="21">
        <v>176.0</v>
      </c>
    </row>
    <row r="551" ht="20.25" customHeight="1">
      <c r="A551" s="20">
        <v>2026.0</v>
      </c>
      <c r="B551" s="20">
        <v>5.0</v>
      </c>
      <c r="C551" s="20" t="s">
        <v>266</v>
      </c>
      <c r="D551" s="20" t="s">
        <v>267</v>
      </c>
      <c r="E551" s="20" t="s">
        <v>15</v>
      </c>
      <c r="F551" s="20" t="s">
        <v>61</v>
      </c>
      <c r="G551" s="20">
        <v>17.0</v>
      </c>
      <c r="H551" s="20">
        <v>14.5</v>
      </c>
      <c r="I551" s="21">
        <v>246.5</v>
      </c>
    </row>
    <row r="552" ht="20.25" customHeight="1">
      <c r="A552" s="20">
        <v>2026.0</v>
      </c>
      <c r="B552" s="20">
        <v>5.0</v>
      </c>
      <c r="C552" s="20" t="s">
        <v>62</v>
      </c>
      <c r="D552" s="20" t="s">
        <v>251</v>
      </c>
      <c r="E552" s="20" t="s">
        <v>35</v>
      </c>
      <c r="F552" s="20" t="s">
        <v>61</v>
      </c>
      <c r="G552" s="20">
        <v>18.0</v>
      </c>
      <c r="H552" s="20">
        <v>8.8</v>
      </c>
      <c r="I552" s="21">
        <v>158.4</v>
      </c>
    </row>
    <row r="553" ht="20.25" customHeight="1">
      <c r="A553" s="20">
        <v>2026.0</v>
      </c>
      <c r="B553" s="20">
        <v>6.0</v>
      </c>
      <c r="C553" s="20" t="s">
        <v>266</v>
      </c>
      <c r="D553" s="20" t="s">
        <v>267</v>
      </c>
      <c r="E553" s="20" t="s">
        <v>15</v>
      </c>
      <c r="F553" s="20" t="s">
        <v>61</v>
      </c>
      <c r="G553" s="20">
        <v>17.0</v>
      </c>
      <c r="H553" s="20">
        <v>14.5</v>
      </c>
      <c r="I553" s="21">
        <v>246.5</v>
      </c>
    </row>
    <row r="554" ht="20.25" customHeight="1">
      <c r="A554" s="20">
        <v>2026.0</v>
      </c>
      <c r="B554" s="20">
        <v>6.0</v>
      </c>
      <c r="C554" s="20" t="s">
        <v>62</v>
      </c>
      <c r="D554" s="20" t="s">
        <v>251</v>
      </c>
      <c r="E554" s="20" t="s">
        <v>35</v>
      </c>
      <c r="F554" s="20" t="s">
        <v>61</v>
      </c>
      <c r="G554" s="20">
        <v>15.0</v>
      </c>
      <c r="H554" s="20">
        <v>8.8</v>
      </c>
      <c r="I554" s="21">
        <v>132.0</v>
      </c>
    </row>
    <row r="555" ht="20.25" customHeight="1">
      <c r="A555" s="20">
        <v>2026.0</v>
      </c>
      <c r="B555" s="20">
        <v>4.0</v>
      </c>
      <c r="C555" s="20" t="s">
        <v>268</v>
      </c>
      <c r="D555" s="20" t="s">
        <v>269</v>
      </c>
      <c r="E555" s="20" t="s">
        <v>28</v>
      </c>
      <c r="F555" s="20" t="s">
        <v>61</v>
      </c>
      <c r="G555" s="20">
        <v>15.0</v>
      </c>
      <c r="H555" s="20">
        <v>2.0</v>
      </c>
      <c r="I555" s="21">
        <v>30.0</v>
      </c>
    </row>
    <row r="556" ht="20.25" customHeight="1">
      <c r="A556" s="20">
        <v>2026.0</v>
      </c>
      <c r="B556" s="20">
        <v>5.0</v>
      </c>
      <c r="C556" s="20" t="s">
        <v>268</v>
      </c>
      <c r="D556" s="20" t="s">
        <v>269</v>
      </c>
      <c r="E556" s="20" t="s">
        <v>28</v>
      </c>
      <c r="F556" s="20" t="s">
        <v>61</v>
      </c>
      <c r="G556" s="20">
        <v>16.0</v>
      </c>
      <c r="H556" s="20">
        <v>2.0</v>
      </c>
      <c r="I556" s="21">
        <v>32.0</v>
      </c>
    </row>
    <row r="557" ht="20.25" customHeight="1">
      <c r="A557" s="20">
        <v>2026.0</v>
      </c>
      <c r="B557" s="20">
        <v>6.0</v>
      </c>
      <c r="C557" s="20" t="s">
        <v>268</v>
      </c>
      <c r="D557" s="20" t="s">
        <v>269</v>
      </c>
      <c r="E557" s="20" t="s">
        <v>28</v>
      </c>
      <c r="F557" s="20" t="s">
        <v>61</v>
      </c>
      <c r="G557" s="20">
        <v>19.5</v>
      </c>
      <c r="H557" s="20">
        <v>2.0</v>
      </c>
      <c r="I557" s="21">
        <v>39.0</v>
      </c>
    </row>
    <row r="558" ht="20.25" customHeight="1">
      <c r="A558" s="20">
        <v>2026.0</v>
      </c>
      <c r="B558" s="20">
        <v>4.0</v>
      </c>
      <c r="C558" s="20" t="s">
        <v>270</v>
      </c>
      <c r="D558" s="20" t="s">
        <v>271</v>
      </c>
      <c r="E558" s="20" t="s">
        <v>28</v>
      </c>
      <c r="F558" s="20" t="s">
        <v>61</v>
      </c>
      <c r="G558" s="20">
        <v>15.0</v>
      </c>
      <c r="H558" s="20">
        <v>3.1</v>
      </c>
      <c r="I558" s="21">
        <v>46.5</v>
      </c>
    </row>
    <row r="559" ht="20.25" customHeight="1">
      <c r="A559" s="20">
        <v>2026.0</v>
      </c>
      <c r="B559" s="20">
        <v>5.0</v>
      </c>
      <c r="C559" s="20" t="s">
        <v>270</v>
      </c>
      <c r="D559" s="20" t="s">
        <v>271</v>
      </c>
      <c r="E559" s="20" t="s">
        <v>28</v>
      </c>
      <c r="F559" s="20" t="s">
        <v>61</v>
      </c>
      <c r="G559" s="20">
        <v>16.5</v>
      </c>
      <c r="H559" s="20">
        <v>3.1</v>
      </c>
      <c r="I559" s="21">
        <v>51.15</v>
      </c>
    </row>
    <row r="560" ht="20.25" customHeight="1">
      <c r="A560" s="20">
        <v>2026.0</v>
      </c>
      <c r="B560" s="20">
        <v>6.0</v>
      </c>
      <c r="C560" s="20" t="s">
        <v>270</v>
      </c>
      <c r="D560" s="20" t="s">
        <v>271</v>
      </c>
      <c r="E560" s="20" t="s">
        <v>28</v>
      </c>
      <c r="F560" s="20" t="s">
        <v>61</v>
      </c>
      <c r="G560" s="20">
        <v>1.0</v>
      </c>
      <c r="H560" s="20">
        <v>3.1</v>
      </c>
      <c r="I560" s="21">
        <v>3.1</v>
      </c>
    </row>
    <row r="561" ht="20.25" customHeight="1">
      <c r="A561" s="20">
        <v>2026.0</v>
      </c>
      <c r="B561" s="20">
        <v>6.0</v>
      </c>
      <c r="C561" s="20" t="s">
        <v>270</v>
      </c>
      <c r="D561" s="20" t="s">
        <v>271</v>
      </c>
      <c r="E561" s="20" t="s">
        <v>28</v>
      </c>
      <c r="F561" s="20" t="s">
        <v>61</v>
      </c>
      <c r="G561" s="20">
        <v>19.0</v>
      </c>
      <c r="H561" s="20">
        <v>3.1</v>
      </c>
      <c r="I561" s="21">
        <v>58.9</v>
      </c>
    </row>
    <row r="562" ht="20.25" customHeight="1">
      <c r="A562" s="20">
        <v>2026.0</v>
      </c>
      <c r="B562" s="20">
        <v>4.0</v>
      </c>
      <c r="C562" s="20" t="s">
        <v>145</v>
      </c>
      <c r="D562" s="20" t="s">
        <v>48</v>
      </c>
      <c r="E562" s="20" t="s">
        <v>28</v>
      </c>
      <c r="F562" s="20" t="s">
        <v>61</v>
      </c>
      <c r="G562" s="20">
        <v>18.0</v>
      </c>
      <c r="H562" s="20">
        <v>10.0</v>
      </c>
      <c r="I562" s="21">
        <v>180.0</v>
      </c>
    </row>
    <row r="563" ht="20.25" customHeight="1">
      <c r="A563" s="20">
        <v>2026.0</v>
      </c>
      <c r="B563" s="20">
        <v>5.0</v>
      </c>
      <c r="C563" s="20" t="s">
        <v>145</v>
      </c>
      <c r="D563" s="20" t="s">
        <v>48</v>
      </c>
      <c r="E563" s="20" t="s">
        <v>28</v>
      </c>
      <c r="F563" s="20" t="s">
        <v>61</v>
      </c>
      <c r="G563" s="20">
        <v>16.0</v>
      </c>
      <c r="H563" s="20">
        <v>10.0</v>
      </c>
      <c r="I563" s="21">
        <v>160.0</v>
      </c>
    </row>
    <row r="564" ht="20.25" customHeight="1">
      <c r="A564" s="20">
        <v>2026.0</v>
      </c>
      <c r="B564" s="20">
        <v>6.0</v>
      </c>
      <c r="C564" s="20" t="s">
        <v>145</v>
      </c>
      <c r="D564" s="20" t="s">
        <v>48</v>
      </c>
      <c r="E564" s="20" t="s">
        <v>28</v>
      </c>
      <c r="F564" s="20" t="s">
        <v>61</v>
      </c>
      <c r="G564" s="20">
        <v>20.0</v>
      </c>
      <c r="H564" s="20">
        <v>10.0</v>
      </c>
      <c r="I564" s="21">
        <v>200.0</v>
      </c>
    </row>
    <row r="565" ht="20.25" customHeight="1">
      <c r="A565" s="20">
        <v>2026.0</v>
      </c>
      <c r="B565" s="20">
        <v>4.0</v>
      </c>
      <c r="C565" s="20" t="s">
        <v>272</v>
      </c>
      <c r="D565" s="20" t="s">
        <v>273</v>
      </c>
      <c r="E565" s="20" t="s">
        <v>23</v>
      </c>
      <c r="F565" s="20" t="s">
        <v>61</v>
      </c>
      <c r="G565" s="20">
        <v>5.5</v>
      </c>
      <c r="H565" s="20">
        <v>37.5</v>
      </c>
      <c r="I565" s="21">
        <v>206.25</v>
      </c>
    </row>
    <row r="566" ht="20.25" customHeight="1">
      <c r="A566" s="20">
        <v>2026.0</v>
      </c>
      <c r="B566" s="20">
        <v>4.0</v>
      </c>
      <c r="C566" s="20" t="s">
        <v>272</v>
      </c>
      <c r="D566" s="20" t="s">
        <v>273</v>
      </c>
      <c r="E566" s="20" t="s">
        <v>23</v>
      </c>
      <c r="F566" s="20" t="s">
        <v>61</v>
      </c>
      <c r="G566" s="20">
        <v>12.5</v>
      </c>
      <c r="H566" s="20">
        <v>37.5</v>
      </c>
      <c r="I566" s="21">
        <v>468.75</v>
      </c>
    </row>
    <row r="567" ht="20.25" customHeight="1">
      <c r="A567" s="20">
        <v>2026.0</v>
      </c>
      <c r="B567" s="20">
        <v>5.0</v>
      </c>
      <c r="C567" s="20" t="s">
        <v>272</v>
      </c>
      <c r="D567" s="20" t="s">
        <v>273</v>
      </c>
      <c r="E567" s="20" t="s">
        <v>23</v>
      </c>
      <c r="F567" s="20" t="s">
        <v>61</v>
      </c>
      <c r="G567" s="20">
        <v>16.0</v>
      </c>
      <c r="H567" s="20">
        <v>37.5</v>
      </c>
      <c r="I567" s="21">
        <v>600.0</v>
      </c>
    </row>
    <row r="568" ht="20.25" customHeight="1">
      <c r="A568" s="20">
        <v>2026.0</v>
      </c>
      <c r="B568" s="20">
        <v>6.0</v>
      </c>
      <c r="C568" s="20" t="s">
        <v>272</v>
      </c>
      <c r="D568" s="20" t="s">
        <v>273</v>
      </c>
      <c r="E568" s="20" t="s">
        <v>23</v>
      </c>
      <c r="F568" s="20" t="s">
        <v>61</v>
      </c>
      <c r="G568" s="20">
        <v>22.0</v>
      </c>
      <c r="H568" s="20">
        <v>37.5</v>
      </c>
      <c r="I568" s="21">
        <v>825.0</v>
      </c>
    </row>
    <row r="569" ht="20.25" customHeight="1">
      <c r="A569" s="20">
        <v>2026.0</v>
      </c>
      <c r="B569" s="20">
        <v>4.0</v>
      </c>
      <c r="C569" s="20" t="s">
        <v>274</v>
      </c>
      <c r="D569" s="20" t="s">
        <v>275</v>
      </c>
      <c r="E569" s="20" t="s">
        <v>28</v>
      </c>
      <c r="F569" s="20" t="s">
        <v>61</v>
      </c>
      <c r="G569" s="20">
        <v>10.0</v>
      </c>
      <c r="H569" s="20">
        <v>7.5</v>
      </c>
      <c r="I569" s="21">
        <v>75.0</v>
      </c>
    </row>
    <row r="570" ht="20.25" customHeight="1">
      <c r="A570" s="20">
        <v>2026.0</v>
      </c>
      <c r="B570" s="20">
        <v>4.0</v>
      </c>
      <c r="C570" s="20" t="s">
        <v>276</v>
      </c>
      <c r="D570" s="20" t="s">
        <v>49</v>
      </c>
      <c r="E570" s="20" t="s">
        <v>49</v>
      </c>
      <c r="F570" s="20" t="s">
        <v>61</v>
      </c>
      <c r="G570" s="20">
        <v>21.0</v>
      </c>
      <c r="H570" s="20">
        <v>16.8</v>
      </c>
      <c r="I570" s="21">
        <v>352.8</v>
      </c>
    </row>
    <row r="571" ht="20.25" customHeight="1">
      <c r="A571" s="20">
        <v>2026.0</v>
      </c>
      <c r="B571" s="20">
        <v>5.0</v>
      </c>
      <c r="C571" s="20" t="s">
        <v>276</v>
      </c>
      <c r="D571" s="20" t="s">
        <v>49</v>
      </c>
      <c r="E571" s="20" t="s">
        <v>49</v>
      </c>
      <c r="F571" s="20" t="s">
        <v>61</v>
      </c>
      <c r="G571" s="20">
        <v>17.0</v>
      </c>
      <c r="H571" s="20">
        <v>16.8</v>
      </c>
      <c r="I571" s="21">
        <v>285.6</v>
      </c>
    </row>
    <row r="572" ht="20.25" customHeight="1">
      <c r="A572" s="20">
        <v>2026.0</v>
      </c>
      <c r="B572" s="20">
        <v>6.0</v>
      </c>
      <c r="C572" s="20" t="s">
        <v>276</v>
      </c>
      <c r="D572" s="20" t="s">
        <v>49</v>
      </c>
      <c r="E572" s="20" t="s">
        <v>49</v>
      </c>
      <c r="F572" s="20" t="s">
        <v>61</v>
      </c>
      <c r="G572" s="20">
        <v>22.0</v>
      </c>
      <c r="H572" s="20">
        <v>16.8</v>
      </c>
      <c r="I572" s="21">
        <v>369.6</v>
      </c>
    </row>
    <row r="573" ht="20.25" customHeight="1">
      <c r="A573" s="20">
        <v>2026.0</v>
      </c>
      <c r="B573" s="20">
        <v>4.0</v>
      </c>
      <c r="C573" s="20" t="s">
        <v>277</v>
      </c>
      <c r="D573" s="20" t="s">
        <v>278</v>
      </c>
      <c r="E573" s="20" t="s">
        <v>26</v>
      </c>
      <c r="F573" s="20" t="s">
        <v>61</v>
      </c>
      <c r="G573" s="20">
        <v>16.0</v>
      </c>
      <c r="H573" s="20">
        <v>13.1</v>
      </c>
      <c r="I573" s="21">
        <v>209.6</v>
      </c>
    </row>
    <row r="574" ht="20.25" customHeight="1">
      <c r="A574" s="20">
        <v>2026.0</v>
      </c>
      <c r="B574" s="20">
        <v>4.0</v>
      </c>
      <c r="C574" s="20" t="s">
        <v>277</v>
      </c>
      <c r="D574" s="20" t="s">
        <v>278</v>
      </c>
      <c r="E574" s="20" t="s">
        <v>28</v>
      </c>
      <c r="F574" s="20" t="s">
        <v>61</v>
      </c>
      <c r="G574" s="20">
        <v>16.0</v>
      </c>
      <c r="H574" s="20">
        <v>5.0</v>
      </c>
      <c r="I574" s="21">
        <v>80.0</v>
      </c>
    </row>
    <row r="575" ht="20.25" customHeight="1">
      <c r="A575" s="20">
        <v>2026.0</v>
      </c>
      <c r="B575" s="20">
        <v>5.0</v>
      </c>
      <c r="C575" s="20" t="s">
        <v>277</v>
      </c>
      <c r="D575" s="20" t="s">
        <v>278</v>
      </c>
      <c r="E575" s="20" t="s">
        <v>26</v>
      </c>
      <c r="F575" s="20" t="s">
        <v>61</v>
      </c>
      <c r="G575" s="20">
        <v>16.0</v>
      </c>
      <c r="H575" s="20">
        <v>13.1</v>
      </c>
      <c r="I575" s="21">
        <v>209.6</v>
      </c>
    </row>
    <row r="576" ht="20.25" customHeight="1">
      <c r="A576" s="20">
        <v>2026.0</v>
      </c>
      <c r="B576" s="20">
        <v>5.0</v>
      </c>
      <c r="C576" s="20" t="s">
        <v>277</v>
      </c>
      <c r="D576" s="20" t="s">
        <v>278</v>
      </c>
      <c r="E576" s="20" t="s">
        <v>28</v>
      </c>
      <c r="F576" s="20" t="s">
        <v>61</v>
      </c>
      <c r="G576" s="20">
        <v>16.0</v>
      </c>
      <c r="H576" s="20">
        <v>5.0</v>
      </c>
      <c r="I576" s="21">
        <v>80.0</v>
      </c>
    </row>
    <row r="577" ht="20.25" customHeight="1">
      <c r="A577" s="20">
        <v>2026.0</v>
      </c>
      <c r="B577" s="20">
        <v>6.0</v>
      </c>
      <c r="C577" s="20" t="s">
        <v>277</v>
      </c>
      <c r="D577" s="20" t="s">
        <v>278</v>
      </c>
      <c r="E577" s="20" t="s">
        <v>26</v>
      </c>
      <c r="F577" s="20" t="s">
        <v>61</v>
      </c>
      <c r="G577" s="20">
        <v>21.0</v>
      </c>
      <c r="H577" s="20">
        <v>13.1</v>
      </c>
      <c r="I577" s="21">
        <v>275.1</v>
      </c>
    </row>
    <row r="578" ht="20.25" customHeight="1">
      <c r="A578" s="20">
        <v>2026.0</v>
      </c>
      <c r="B578" s="20">
        <v>6.0</v>
      </c>
      <c r="C578" s="20" t="s">
        <v>277</v>
      </c>
      <c r="D578" s="20" t="s">
        <v>278</v>
      </c>
      <c r="E578" s="20" t="s">
        <v>28</v>
      </c>
      <c r="F578" s="20" t="s">
        <v>61</v>
      </c>
      <c r="G578" s="20">
        <v>21.0</v>
      </c>
      <c r="H578" s="20">
        <v>5.0</v>
      </c>
      <c r="I578" s="21">
        <v>105.0</v>
      </c>
    </row>
    <row r="579" ht="20.25" customHeight="1">
      <c r="A579" s="20">
        <v>2026.0</v>
      </c>
      <c r="B579" s="20">
        <v>4.0</v>
      </c>
      <c r="C579" s="20" t="s">
        <v>90</v>
      </c>
      <c r="D579" s="20" t="s">
        <v>91</v>
      </c>
      <c r="E579" s="20" t="s">
        <v>26</v>
      </c>
      <c r="F579" s="20" t="s">
        <v>61</v>
      </c>
      <c r="G579" s="20">
        <v>20.0</v>
      </c>
      <c r="H579" s="20">
        <v>26.6</v>
      </c>
      <c r="I579" s="21">
        <v>532.0</v>
      </c>
    </row>
    <row r="580" ht="20.25" customHeight="1">
      <c r="A580" s="20">
        <v>2026.0</v>
      </c>
      <c r="B580" s="20">
        <v>5.0</v>
      </c>
      <c r="C580" s="20" t="s">
        <v>90</v>
      </c>
      <c r="D580" s="20" t="s">
        <v>91</v>
      </c>
      <c r="E580" s="20" t="s">
        <v>26</v>
      </c>
      <c r="F580" s="20" t="s">
        <v>61</v>
      </c>
      <c r="G580" s="20">
        <v>17.0</v>
      </c>
      <c r="H580" s="20">
        <v>26.6</v>
      </c>
      <c r="I580" s="21">
        <v>452.2</v>
      </c>
    </row>
    <row r="581" ht="20.25" customHeight="1">
      <c r="A581" s="20">
        <v>2026.0</v>
      </c>
      <c r="B581" s="20">
        <v>6.0</v>
      </c>
      <c r="C581" s="20" t="s">
        <v>90</v>
      </c>
      <c r="D581" s="20" t="s">
        <v>91</v>
      </c>
      <c r="E581" s="20" t="s">
        <v>26</v>
      </c>
      <c r="F581" s="20" t="s">
        <v>61</v>
      </c>
      <c r="G581" s="20">
        <v>19.5</v>
      </c>
      <c r="H581" s="20">
        <v>26.6</v>
      </c>
      <c r="I581" s="21">
        <v>518.7</v>
      </c>
    </row>
    <row r="582" ht="20.25" customHeight="1">
      <c r="A582" s="20">
        <v>2026.0</v>
      </c>
      <c r="B582" s="20">
        <v>4.0</v>
      </c>
      <c r="C582" s="20" t="s">
        <v>66</v>
      </c>
      <c r="D582" s="20" t="s">
        <v>67</v>
      </c>
      <c r="E582" s="20" t="s">
        <v>13</v>
      </c>
      <c r="F582" s="20" t="s">
        <v>68</v>
      </c>
      <c r="G582" s="20"/>
      <c r="H582" s="20">
        <v>290.0</v>
      </c>
      <c r="I582" s="21">
        <v>290.0</v>
      </c>
    </row>
    <row r="583" ht="20.25" customHeight="1">
      <c r="A583" s="20">
        <v>2026.0</v>
      </c>
      <c r="B583" s="20">
        <v>5.0</v>
      </c>
      <c r="C583" s="20" t="s">
        <v>66</v>
      </c>
      <c r="D583" s="20" t="s">
        <v>67</v>
      </c>
      <c r="E583" s="20" t="s">
        <v>13</v>
      </c>
      <c r="F583" s="20" t="s">
        <v>68</v>
      </c>
      <c r="G583" s="20"/>
      <c r="H583" s="20">
        <v>290.0</v>
      </c>
      <c r="I583" s="21">
        <v>290.0</v>
      </c>
    </row>
    <row r="584" ht="20.25" customHeight="1">
      <c r="A584" s="57">
        <v>2026.0</v>
      </c>
      <c r="B584" s="57">
        <v>1.0</v>
      </c>
      <c r="C584" s="58" t="s">
        <v>190</v>
      </c>
      <c r="D584" s="57" t="s">
        <v>191</v>
      </c>
      <c r="E584" s="57" t="s">
        <v>42</v>
      </c>
      <c r="F584" s="57" t="s">
        <v>61</v>
      </c>
      <c r="G584" s="57">
        <v>17.0</v>
      </c>
      <c r="H584" s="57">
        <v>-5.5</v>
      </c>
      <c r="I584" s="57">
        <f t="shared" ref="I584:I589" si="5">G584*H584</f>
        <v>-93.5</v>
      </c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</row>
    <row r="585" ht="20.25" customHeight="1">
      <c r="A585" s="57">
        <v>2026.0</v>
      </c>
      <c r="B585" s="57">
        <v>2.0</v>
      </c>
      <c r="C585" s="58" t="s">
        <v>190</v>
      </c>
      <c r="D585" s="57" t="s">
        <v>191</v>
      </c>
      <c r="E585" s="57" t="s">
        <v>42</v>
      </c>
      <c r="F585" s="57" t="s">
        <v>61</v>
      </c>
      <c r="G585" s="57">
        <v>15.0</v>
      </c>
      <c r="H585" s="57">
        <v>-5.5</v>
      </c>
      <c r="I585" s="57">
        <f t="shared" si="5"/>
        <v>-82.5</v>
      </c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</row>
    <row r="586" ht="20.25" customHeight="1">
      <c r="A586" s="57">
        <v>2026.0</v>
      </c>
      <c r="B586" s="57">
        <v>3.0</v>
      </c>
      <c r="C586" s="58" t="s">
        <v>190</v>
      </c>
      <c r="D586" s="57" t="s">
        <v>191</v>
      </c>
      <c r="E586" s="57" t="s">
        <v>42</v>
      </c>
      <c r="F586" s="57" t="s">
        <v>61</v>
      </c>
      <c r="G586" s="57">
        <v>16.0</v>
      </c>
      <c r="H586" s="57">
        <v>-5.5</v>
      </c>
      <c r="I586" s="57">
        <f t="shared" si="5"/>
        <v>-88</v>
      </c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</row>
    <row r="587" ht="20.25" customHeight="1">
      <c r="A587" s="57">
        <v>2026.0</v>
      </c>
      <c r="B587" s="57">
        <v>1.0</v>
      </c>
      <c r="C587" s="58" t="s">
        <v>190</v>
      </c>
      <c r="D587" s="57" t="s">
        <v>191</v>
      </c>
      <c r="E587" s="57" t="s">
        <v>42</v>
      </c>
      <c r="F587" s="57" t="s">
        <v>61</v>
      </c>
      <c r="G587" s="57">
        <v>17.0</v>
      </c>
      <c r="H587" s="57">
        <v>4.1</v>
      </c>
      <c r="I587" s="57">
        <f t="shared" si="5"/>
        <v>69.7</v>
      </c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</row>
    <row r="588" ht="20.25" customHeight="1">
      <c r="A588" s="57">
        <v>2026.0</v>
      </c>
      <c r="B588" s="57">
        <v>2.0</v>
      </c>
      <c r="C588" s="58" t="s">
        <v>190</v>
      </c>
      <c r="D588" s="57" t="s">
        <v>191</v>
      </c>
      <c r="E588" s="57" t="s">
        <v>42</v>
      </c>
      <c r="F588" s="57" t="s">
        <v>61</v>
      </c>
      <c r="G588" s="57">
        <v>15.0</v>
      </c>
      <c r="H588" s="57">
        <v>4.1</v>
      </c>
      <c r="I588" s="57">
        <f t="shared" si="5"/>
        <v>61.5</v>
      </c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</row>
    <row r="589" ht="20.25" customHeight="1">
      <c r="A589" s="57">
        <v>2026.0</v>
      </c>
      <c r="B589" s="57">
        <v>3.0</v>
      </c>
      <c r="C589" s="58" t="s">
        <v>190</v>
      </c>
      <c r="D589" s="57" t="s">
        <v>191</v>
      </c>
      <c r="E589" s="57" t="s">
        <v>42</v>
      </c>
      <c r="F589" s="57" t="s">
        <v>61</v>
      </c>
      <c r="G589" s="57">
        <v>16.0</v>
      </c>
      <c r="H589" s="57">
        <v>4.1</v>
      </c>
      <c r="I589" s="57">
        <f t="shared" si="5"/>
        <v>65.6</v>
      </c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</row>
    <row r="590" ht="20.2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76"/>
    </row>
    <row r="591" ht="20.2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76"/>
    </row>
    <row r="592" ht="20.2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76"/>
    </row>
    <row r="593" ht="20.2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76"/>
    </row>
    <row r="594" ht="20.2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76"/>
    </row>
    <row r="595" ht="20.2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76"/>
    </row>
    <row r="596" ht="20.2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76"/>
    </row>
    <row r="597" ht="20.2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76"/>
    </row>
    <row r="598" ht="20.2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76"/>
    </row>
    <row r="599" ht="20.2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76"/>
    </row>
    <row r="600" ht="20.2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76"/>
    </row>
    <row r="601" ht="20.2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76"/>
    </row>
    <row r="602" ht="20.2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76"/>
    </row>
    <row r="603" ht="20.2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76"/>
    </row>
    <row r="604" ht="20.2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76"/>
    </row>
    <row r="605" ht="20.2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76"/>
    </row>
    <row r="606" ht="20.2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76"/>
    </row>
    <row r="607" ht="20.2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76"/>
    </row>
    <row r="608" ht="20.2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76"/>
    </row>
    <row r="609" ht="20.2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76"/>
    </row>
    <row r="610" ht="20.2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76"/>
    </row>
    <row r="611" ht="20.2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76"/>
    </row>
    <row r="612" ht="20.2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76"/>
    </row>
    <row r="613" ht="20.2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76"/>
    </row>
    <row r="614" ht="20.2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76"/>
    </row>
    <row r="615" ht="20.2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76"/>
    </row>
    <row r="616" ht="20.2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76"/>
    </row>
    <row r="617" ht="20.2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76"/>
    </row>
    <row r="618" ht="20.2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76"/>
    </row>
    <row r="619" ht="20.2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76"/>
    </row>
    <row r="620" ht="20.2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76"/>
    </row>
    <row r="621" ht="20.2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76"/>
    </row>
    <row r="622" ht="20.2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76"/>
    </row>
    <row r="623" ht="20.2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76"/>
    </row>
    <row r="624" ht="20.2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76"/>
    </row>
    <row r="625" ht="20.2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76"/>
    </row>
    <row r="626" ht="20.2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76"/>
    </row>
    <row r="627" ht="20.2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76"/>
    </row>
    <row r="628" ht="20.2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76"/>
    </row>
    <row r="629" ht="20.2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76"/>
    </row>
    <row r="630" ht="20.2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76"/>
    </row>
    <row r="631" ht="20.2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76"/>
    </row>
    <row r="632" ht="20.2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76"/>
    </row>
    <row r="633" ht="20.2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76"/>
    </row>
    <row r="634" ht="20.2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76"/>
    </row>
    <row r="635" ht="20.2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76"/>
    </row>
    <row r="636" ht="20.2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76"/>
    </row>
    <row r="637" ht="20.2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76"/>
    </row>
    <row r="638" ht="20.2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76"/>
    </row>
    <row r="639" ht="20.2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76"/>
    </row>
    <row r="640" ht="20.2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76"/>
    </row>
    <row r="641" ht="20.2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76"/>
    </row>
    <row r="642" ht="20.2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76"/>
    </row>
    <row r="643" ht="20.2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76"/>
    </row>
    <row r="644" ht="20.2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76"/>
    </row>
    <row r="645" ht="20.2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76"/>
    </row>
    <row r="646" ht="20.2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76"/>
    </row>
    <row r="647" ht="20.2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76"/>
    </row>
    <row r="648" ht="20.2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76"/>
    </row>
    <row r="649" ht="20.2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76"/>
    </row>
    <row r="650" ht="20.2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76"/>
    </row>
    <row r="651" ht="20.2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76"/>
    </row>
    <row r="652" ht="20.2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76"/>
    </row>
    <row r="653" ht="20.2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76"/>
    </row>
    <row r="654" ht="20.2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76"/>
    </row>
    <row r="655" ht="20.2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76"/>
    </row>
    <row r="656" ht="20.2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76"/>
    </row>
    <row r="657" ht="20.2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76"/>
    </row>
    <row r="658" ht="20.2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76"/>
    </row>
    <row r="659" ht="20.2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76"/>
    </row>
    <row r="660" ht="20.2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76"/>
    </row>
    <row r="661" ht="20.2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76"/>
    </row>
    <row r="662" ht="20.2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76"/>
    </row>
    <row r="663" ht="20.2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76"/>
    </row>
    <row r="664" ht="20.2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76"/>
    </row>
    <row r="665" ht="20.2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76"/>
    </row>
    <row r="666" ht="20.2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76"/>
    </row>
    <row r="667" ht="20.2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76"/>
    </row>
    <row r="668" ht="20.2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76"/>
    </row>
    <row r="669" ht="20.2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76"/>
    </row>
    <row r="670" ht="20.2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76"/>
    </row>
    <row r="671" ht="20.2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76"/>
    </row>
    <row r="672" ht="20.2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76"/>
    </row>
    <row r="673" ht="20.2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76"/>
    </row>
    <row r="674" ht="20.2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76"/>
    </row>
    <row r="675" ht="20.2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76"/>
    </row>
    <row r="676" ht="20.2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76"/>
    </row>
    <row r="677" ht="20.2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76"/>
    </row>
    <row r="678" ht="20.2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76"/>
    </row>
    <row r="679" ht="20.2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76"/>
    </row>
    <row r="680" ht="20.2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76"/>
    </row>
    <row r="681" ht="20.2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76"/>
    </row>
    <row r="682" ht="20.2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76"/>
    </row>
    <row r="683" ht="20.2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76"/>
    </row>
    <row r="684" ht="20.2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76"/>
    </row>
    <row r="685" ht="20.2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76"/>
    </row>
    <row r="686" ht="20.2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76"/>
    </row>
    <row r="687" ht="20.2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76"/>
    </row>
    <row r="688" ht="20.2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76"/>
    </row>
    <row r="689" ht="20.2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76"/>
    </row>
    <row r="690" ht="20.2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76"/>
    </row>
    <row r="691" ht="20.2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76"/>
    </row>
    <row r="692" ht="20.2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76"/>
    </row>
    <row r="693" ht="20.2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76"/>
    </row>
    <row r="694" ht="20.2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76"/>
    </row>
    <row r="695" ht="20.2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76"/>
    </row>
    <row r="696" ht="20.2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76"/>
    </row>
    <row r="697" ht="20.2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76"/>
    </row>
    <row r="698" ht="20.2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76"/>
    </row>
    <row r="699" ht="20.2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76"/>
    </row>
    <row r="700" ht="20.2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76"/>
    </row>
    <row r="701" ht="20.2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76"/>
    </row>
    <row r="702" ht="20.2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76"/>
    </row>
    <row r="703" ht="20.2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76"/>
    </row>
    <row r="704" ht="20.2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76"/>
    </row>
    <row r="705" ht="20.2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76"/>
    </row>
    <row r="706" ht="20.2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76"/>
    </row>
    <row r="707" ht="20.2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76"/>
    </row>
    <row r="708" ht="20.2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76"/>
    </row>
    <row r="709" ht="20.2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76"/>
    </row>
    <row r="710" ht="20.2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76"/>
    </row>
    <row r="711" ht="20.2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76"/>
    </row>
    <row r="712" ht="20.2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76"/>
    </row>
    <row r="713" ht="20.2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76"/>
    </row>
    <row r="714" ht="20.2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76"/>
    </row>
    <row r="715" ht="20.2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76"/>
    </row>
    <row r="716" ht="20.2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76"/>
    </row>
    <row r="717" ht="20.2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76"/>
    </row>
    <row r="718" ht="20.2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76"/>
    </row>
    <row r="719" ht="20.2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76"/>
    </row>
    <row r="720" ht="20.2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76"/>
    </row>
    <row r="721" ht="20.2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76"/>
    </row>
    <row r="722" ht="20.2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76"/>
    </row>
    <row r="723" ht="20.2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76"/>
    </row>
    <row r="724" ht="20.2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76"/>
    </row>
    <row r="725" ht="20.2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76"/>
    </row>
    <row r="726" ht="20.2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76"/>
    </row>
    <row r="727" ht="20.2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76"/>
    </row>
    <row r="728" ht="20.2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76"/>
    </row>
    <row r="729" ht="20.2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76"/>
    </row>
    <row r="730" ht="20.2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76"/>
    </row>
    <row r="731" ht="20.2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76"/>
    </row>
    <row r="732" ht="20.2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76"/>
    </row>
    <row r="733" ht="20.2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76"/>
    </row>
    <row r="734" ht="20.2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76"/>
    </row>
    <row r="735" ht="20.2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76"/>
    </row>
    <row r="736" ht="20.2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76"/>
    </row>
    <row r="737" ht="20.2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76"/>
    </row>
    <row r="738" ht="20.2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76"/>
    </row>
    <row r="739" ht="20.2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76"/>
    </row>
    <row r="740" ht="20.2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76"/>
    </row>
    <row r="741" ht="20.2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76"/>
    </row>
    <row r="742" ht="20.2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76"/>
    </row>
    <row r="743" ht="20.2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76"/>
    </row>
    <row r="744" ht="20.2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76"/>
    </row>
    <row r="745" ht="20.2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76"/>
    </row>
    <row r="746" ht="20.2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76"/>
    </row>
    <row r="747" ht="20.2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76"/>
    </row>
    <row r="748" ht="20.2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76"/>
    </row>
    <row r="749" ht="20.2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76"/>
    </row>
    <row r="750" ht="20.2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76"/>
    </row>
    <row r="751" ht="20.2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76"/>
    </row>
    <row r="752" ht="20.2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76"/>
    </row>
    <row r="753" ht="20.2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76"/>
    </row>
    <row r="754" ht="20.2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76"/>
    </row>
    <row r="755" ht="20.2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76"/>
    </row>
    <row r="756" ht="20.2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76"/>
    </row>
    <row r="757" ht="20.2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76"/>
    </row>
    <row r="758" ht="20.2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76"/>
    </row>
    <row r="759" ht="20.2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76"/>
    </row>
    <row r="760" ht="20.2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76"/>
    </row>
    <row r="761" ht="20.2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76"/>
    </row>
    <row r="762" ht="20.2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76"/>
    </row>
    <row r="763" ht="20.2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76"/>
    </row>
    <row r="764" ht="20.2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76"/>
    </row>
    <row r="765" ht="20.2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76"/>
    </row>
    <row r="766" ht="20.2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76"/>
    </row>
    <row r="767" ht="20.2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76"/>
    </row>
    <row r="768" ht="20.2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76"/>
    </row>
    <row r="769" ht="20.2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76"/>
    </row>
    <row r="770" ht="20.2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76"/>
    </row>
    <row r="771" ht="20.2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76"/>
    </row>
    <row r="772" ht="20.2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76"/>
    </row>
    <row r="773" ht="20.2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76"/>
    </row>
    <row r="774" ht="20.2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76"/>
    </row>
    <row r="775" ht="20.2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76"/>
    </row>
    <row r="776" ht="20.2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76"/>
    </row>
    <row r="777" ht="20.2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76"/>
    </row>
    <row r="778" ht="20.2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76"/>
    </row>
    <row r="779" ht="20.2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76"/>
    </row>
    <row r="780" ht="20.2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76"/>
    </row>
    <row r="781" ht="20.2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76"/>
    </row>
    <row r="782" ht="20.2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76"/>
    </row>
    <row r="783" ht="20.2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76"/>
    </row>
    <row r="784" ht="20.2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76"/>
    </row>
    <row r="785" ht="20.2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76"/>
    </row>
    <row r="786" ht="20.2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76"/>
    </row>
    <row r="787" ht="20.2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76"/>
    </row>
    <row r="788" ht="20.2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76"/>
    </row>
    <row r="789" ht="20.2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76"/>
    </row>
    <row r="790" ht="20.2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76"/>
    </row>
    <row r="791" ht="20.2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76"/>
    </row>
    <row r="792" ht="20.2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76"/>
    </row>
    <row r="793" ht="20.2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76"/>
    </row>
    <row r="794" ht="20.2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76"/>
    </row>
    <row r="795" ht="20.2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76"/>
    </row>
    <row r="796" ht="20.2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76"/>
    </row>
    <row r="797" ht="20.2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76"/>
    </row>
    <row r="798" ht="20.2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76"/>
    </row>
    <row r="799" ht="20.2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76"/>
    </row>
    <row r="800" ht="20.2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76"/>
    </row>
    <row r="801" ht="20.2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76"/>
    </row>
    <row r="802" ht="20.2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76"/>
    </row>
    <row r="803" ht="20.2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76"/>
    </row>
    <row r="804" ht="20.2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76"/>
    </row>
    <row r="805" ht="20.2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76"/>
    </row>
    <row r="806" ht="20.2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76"/>
    </row>
    <row r="807" ht="20.2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76"/>
    </row>
    <row r="808" ht="20.2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76"/>
    </row>
    <row r="809" ht="20.2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76"/>
    </row>
    <row r="810" ht="20.2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76"/>
    </row>
    <row r="811" ht="20.2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76"/>
    </row>
    <row r="812" ht="20.2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76"/>
    </row>
    <row r="813" ht="20.2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76"/>
    </row>
    <row r="814" ht="20.2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76"/>
    </row>
    <row r="815" ht="20.2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76"/>
    </row>
    <row r="816" ht="20.2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76"/>
    </row>
    <row r="817" ht="20.2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76"/>
    </row>
    <row r="818" ht="20.2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76"/>
    </row>
    <row r="819" ht="20.2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76"/>
    </row>
    <row r="820" ht="20.2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76"/>
    </row>
    <row r="821" ht="20.2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76"/>
    </row>
    <row r="822" ht="20.2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76"/>
    </row>
    <row r="823" ht="20.2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76"/>
    </row>
    <row r="824" ht="20.2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76"/>
    </row>
    <row r="825" ht="20.2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76"/>
    </row>
    <row r="826" ht="20.2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76"/>
    </row>
    <row r="827" ht="20.2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76"/>
    </row>
    <row r="828" ht="20.2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76"/>
    </row>
    <row r="829" ht="20.2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76"/>
    </row>
    <row r="830" ht="20.2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76"/>
    </row>
    <row r="831" ht="20.2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76"/>
    </row>
    <row r="832" ht="20.2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76"/>
    </row>
    <row r="833" ht="20.2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76"/>
    </row>
    <row r="834" ht="20.2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76"/>
    </row>
    <row r="835" ht="20.2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76"/>
    </row>
    <row r="836" ht="20.2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76"/>
    </row>
    <row r="837" ht="20.2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76"/>
    </row>
    <row r="838" ht="20.2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76"/>
    </row>
    <row r="839" ht="20.2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76"/>
    </row>
    <row r="840" ht="20.2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76"/>
    </row>
    <row r="841" ht="20.2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76"/>
    </row>
    <row r="842" ht="20.2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76"/>
    </row>
    <row r="843" ht="20.2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76"/>
    </row>
    <row r="844" ht="20.2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76"/>
    </row>
    <row r="845" ht="20.2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76"/>
    </row>
    <row r="846" ht="20.2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76"/>
    </row>
    <row r="847" ht="20.2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76"/>
    </row>
    <row r="848" ht="20.2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76"/>
    </row>
    <row r="849" ht="20.2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76"/>
    </row>
    <row r="850" ht="20.2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76"/>
    </row>
    <row r="851" ht="20.2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76"/>
    </row>
    <row r="852" ht="20.2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76"/>
    </row>
    <row r="853" ht="20.2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76"/>
    </row>
    <row r="854" ht="20.2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76"/>
    </row>
    <row r="855" ht="20.2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76"/>
    </row>
    <row r="856" ht="20.2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76"/>
    </row>
    <row r="857" ht="20.2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76"/>
    </row>
    <row r="858" ht="20.2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76"/>
    </row>
    <row r="859" ht="20.2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76"/>
    </row>
    <row r="860" ht="20.2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76"/>
    </row>
    <row r="861" ht="20.2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76"/>
    </row>
    <row r="862" ht="20.2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76"/>
    </row>
    <row r="863" ht="20.2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76"/>
    </row>
    <row r="864" ht="20.2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76"/>
    </row>
    <row r="865" ht="20.2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76"/>
    </row>
    <row r="866" ht="20.2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76"/>
    </row>
    <row r="867" ht="20.2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76"/>
    </row>
    <row r="868" ht="20.2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76"/>
    </row>
    <row r="869" ht="20.2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76"/>
    </row>
    <row r="870" ht="20.2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76"/>
    </row>
    <row r="871" ht="20.2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76"/>
    </row>
    <row r="872" ht="20.2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76"/>
    </row>
    <row r="873" ht="20.2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76"/>
    </row>
    <row r="874" ht="20.2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76"/>
    </row>
    <row r="875" ht="20.2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76"/>
    </row>
    <row r="876" ht="20.2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76"/>
    </row>
    <row r="877" ht="20.2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76"/>
    </row>
    <row r="878" ht="20.2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76"/>
    </row>
    <row r="879" ht="20.2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76"/>
    </row>
    <row r="880" ht="20.2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76"/>
    </row>
    <row r="881" ht="20.2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76"/>
    </row>
    <row r="882" ht="20.2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76"/>
    </row>
    <row r="883" ht="20.2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76"/>
    </row>
    <row r="884" ht="20.2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76"/>
    </row>
    <row r="885" ht="20.2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76"/>
    </row>
    <row r="886" ht="20.2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76"/>
    </row>
    <row r="887" ht="20.2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76"/>
    </row>
    <row r="888" ht="20.2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76"/>
    </row>
    <row r="889" ht="20.2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76"/>
    </row>
    <row r="890" ht="20.2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76"/>
    </row>
    <row r="891" ht="20.2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76"/>
    </row>
    <row r="892" ht="20.2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76"/>
    </row>
    <row r="893" ht="20.2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76"/>
    </row>
    <row r="894" ht="20.2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76"/>
    </row>
    <row r="895" ht="20.2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76"/>
    </row>
    <row r="896" ht="20.2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76"/>
    </row>
    <row r="897" ht="20.2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76"/>
    </row>
    <row r="898" ht="20.2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76"/>
    </row>
    <row r="899" ht="20.2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76"/>
    </row>
    <row r="900" ht="20.2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76"/>
    </row>
    <row r="901" ht="20.2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76"/>
    </row>
    <row r="902" ht="20.2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76"/>
    </row>
    <row r="903" ht="20.2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76"/>
    </row>
    <row r="904" ht="20.2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76"/>
    </row>
    <row r="905" ht="20.2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76"/>
    </row>
    <row r="906" ht="20.2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76"/>
    </row>
    <row r="907" ht="20.2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76"/>
    </row>
    <row r="908" ht="20.2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76"/>
    </row>
    <row r="909" ht="20.2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76"/>
    </row>
    <row r="910" ht="20.2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76"/>
    </row>
    <row r="911" ht="20.2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76"/>
    </row>
    <row r="912" ht="20.2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76"/>
    </row>
    <row r="913" ht="20.2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76"/>
    </row>
    <row r="914" ht="20.2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76"/>
    </row>
    <row r="915" ht="20.2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76"/>
    </row>
    <row r="916" ht="20.2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76"/>
    </row>
    <row r="917" ht="20.2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76"/>
    </row>
    <row r="918" ht="20.2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76"/>
    </row>
    <row r="919" ht="20.2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76"/>
    </row>
    <row r="920" ht="20.2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76"/>
    </row>
    <row r="921" ht="20.2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76"/>
    </row>
    <row r="922" ht="20.2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76"/>
    </row>
    <row r="923" ht="20.2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76"/>
    </row>
    <row r="924" ht="20.2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76"/>
    </row>
    <row r="925" ht="20.2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76"/>
    </row>
    <row r="926" ht="20.2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76"/>
    </row>
    <row r="927" ht="20.2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76"/>
    </row>
    <row r="928" ht="20.2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76"/>
    </row>
    <row r="929" ht="20.2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76"/>
    </row>
    <row r="930" ht="20.2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76"/>
    </row>
    <row r="931" ht="20.2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76"/>
    </row>
    <row r="932" ht="20.2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76"/>
    </row>
    <row r="933" ht="20.2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76"/>
    </row>
    <row r="934" ht="20.2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76"/>
    </row>
    <row r="935" ht="20.2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76"/>
    </row>
    <row r="936" ht="20.2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76"/>
    </row>
    <row r="937" ht="20.2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76"/>
    </row>
    <row r="938" ht="20.2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76"/>
    </row>
    <row r="939" ht="20.2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76"/>
    </row>
    <row r="940" ht="20.2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76"/>
    </row>
    <row r="941" ht="20.2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76"/>
    </row>
    <row r="942" ht="20.2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76"/>
    </row>
    <row r="943" ht="20.2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76"/>
    </row>
    <row r="944" ht="20.2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76"/>
    </row>
    <row r="945" ht="20.2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76"/>
    </row>
    <row r="946" ht="20.2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76"/>
    </row>
    <row r="947" ht="20.2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76"/>
    </row>
    <row r="948" ht="20.2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76"/>
    </row>
    <row r="949" ht="20.2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76"/>
    </row>
    <row r="950" ht="20.2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76"/>
    </row>
    <row r="951" ht="20.2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76"/>
    </row>
    <row r="952" ht="20.2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76"/>
    </row>
    <row r="953" ht="20.2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76"/>
    </row>
    <row r="954" ht="20.2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76"/>
    </row>
    <row r="955" ht="20.2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76"/>
    </row>
    <row r="956" ht="20.2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76"/>
    </row>
    <row r="957" ht="20.2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76"/>
    </row>
    <row r="958" ht="20.2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76"/>
    </row>
    <row r="959" ht="20.2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76"/>
    </row>
    <row r="960" ht="20.2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76"/>
    </row>
    <row r="961" ht="20.2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76"/>
    </row>
    <row r="962" ht="20.2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76"/>
    </row>
    <row r="963" ht="20.2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76"/>
    </row>
    <row r="964" ht="20.2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76"/>
    </row>
    <row r="965" ht="20.2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76"/>
    </row>
    <row r="966" ht="20.2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76"/>
    </row>
    <row r="967" ht="20.2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76"/>
    </row>
    <row r="968" ht="20.2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76"/>
    </row>
    <row r="969" ht="20.2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76"/>
    </row>
    <row r="970" ht="20.2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76"/>
    </row>
    <row r="971" ht="20.2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76"/>
    </row>
    <row r="972" ht="20.2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76"/>
    </row>
    <row r="973" ht="20.2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76"/>
    </row>
    <row r="974" ht="20.2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76"/>
    </row>
    <row r="975" ht="20.2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76"/>
    </row>
    <row r="976" ht="20.2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76"/>
    </row>
    <row r="977" ht="20.2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76"/>
    </row>
    <row r="978" ht="20.2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76"/>
    </row>
    <row r="979" ht="20.2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76"/>
    </row>
    <row r="980" ht="20.2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76"/>
    </row>
    <row r="981" ht="20.2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76"/>
    </row>
    <row r="982" ht="20.2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76"/>
    </row>
    <row r="983" ht="20.2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76"/>
    </row>
    <row r="984" ht="20.2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76"/>
    </row>
    <row r="985" ht="20.2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76"/>
    </row>
    <row r="986" ht="20.2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76"/>
    </row>
    <row r="987" ht="20.2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76"/>
    </row>
    <row r="988" ht="20.2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76"/>
    </row>
    <row r="989" ht="20.2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76"/>
    </row>
    <row r="990" ht="20.2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76"/>
    </row>
    <row r="991" ht="20.2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76"/>
    </row>
    <row r="992" ht="20.2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76"/>
    </row>
    <row r="993" ht="20.2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76"/>
    </row>
    <row r="994" ht="20.2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76"/>
    </row>
    <row r="995" ht="20.2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76"/>
    </row>
    <row r="996" ht="20.2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76"/>
    </row>
    <row r="997" ht="20.2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76"/>
    </row>
    <row r="998" ht="20.2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76"/>
    </row>
    <row r="999" ht="20.2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76"/>
    </row>
    <row r="1000" ht="20.2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76"/>
    </row>
    <row r="1001" ht="20.25" customHeight="1">
      <c r="A1001" s="44"/>
      <c r="B1001" s="44"/>
      <c r="C1001" s="44"/>
      <c r="D1001" s="44"/>
      <c r="E1001" s="44"/>
      <c r="F1001" s="44"/>
      <c r="G1001" s="44"/>
      <c r="H1001" s="44"/>
      <c r="I1001" s="44"/>
      <c r="J1001" s="76"/>
    </row>
    <row r="1002" ht="20.25" customHeight="1">
      <c r="A1002" s="44"/>
      <c r="B1002" s="44"/>
      <c r="C1002" s="44"/>
      <c r="D1002" s="44"/>
      <c r="E1002" s="44"/>
      <c r="F1002" s="44"/>
      <c r="G1002" s="44"/>
      <c r="H1002" s="44"/>
      <c r="I1002" s="44"/>
      <c r="J1002" s="76"/>
    </row>
    <row r="1003" ht="20.25" customHeight="1">
      <c r="A1003" s="44"/>
      <c r="B1003" s="44"/>
      <c r="C1003" s="44"/>
      <c r="D1003" s="44"/>
      <c r="E1003" s="44"/>
      <c r="F1003" s="44"/>
      <c r="G1003" s="44"/>
      <c r="H1003" s="44"/>
      <c r="I1003" s="44"/>
      <c r="J1003" s="76"/>
    </row>
    <row r="1004" ht="20.25" customHeight="1">
      <c r="A1004" s="44"/>
      <c r="B1004" s="44"/>
      <c r="C1004" s="44"/>
      <c r="D1004" s="44"/>
      <c r="E1004" s="44"/>
      <c r="F1004" s="44"/>
      <c r="G1004" s="44"/>
      <c r="H1004" s="44"/>
      <c r="I1004" s="44"/>
      <c r="J1004" s="76"/>
    </row>
    <row r="1005" ht="20.25" customHeight="1">
      <c r="A1005" s="44"/>
      <c r="B1005" s="44"/>
      <c r="C1005" s="44"/>
      <c r="D1005" s="44"/>
      <c r="E1005" s="44"/>
      <c r="F1005" s="44"/>
      <c r="G1005" s="44"/>
      <c r="H1005" s="44"/>
      <c r="I1005" s="44"/>
      <c r="J1005" s="76"/>
    </row>
    <row r="1006" ht="20.25" customHeight="1">
      <c r="A1006" s="44"/>
      <c r="B1006" s="44"/>
      <c r="C1006" s="44"/>
      <c r="D1006" s="44"/>
      <c r="E1006" s="44"/>
      <c r="F1006" s="44"/>
      <c r="G1006" s="44"/>
      <c r="H1006" s="44"/>
      <c r="I1006" s="44"/>
      <c r="J1006" s="76"/>
    </row>
    <row r="1007" ht="20.25" customHeight="1">
      <c r="A1007" s="44"/>
      <c r="B1007" s="44"/>
      <c r="C1007" s="44"/>
      <c r="D1007" s="44"/>
      <c r="E1007" s="44"/>
      <c r="F1007" s="44"/>
      <c r="G1007" s="44"/>
      <c r="H1007" s="44"/>
      <c r="I1007" s="44"/>
      <c r="J1007" s="76"/>
    </row>
    <row r="1008" ht="20.25" customHeight="1">
      <c r="A1008" s="44"/>
      <c r="B1008" s="44"/>
      <c r="C1008" s="44"/>
      <c r="D1008" s="44"/>
      <c r="E1008" s="44"/>
      <c r="F1008" s="44"/>
      <c r="G1008" s="44"/>
      <c r="H1008" s="44"/>
      <c r="I1008" s="44"/>
      <c r="J1008" s="76"/>
    </row>
    <row r="1009" ht="20.25" customHeight="1">
      <c r="A1009" s="44"/>
      <c r="B1009" s="44"/>
      <c r="C1009" s="44"/>
      <c r="D1009" s="44"/>
      <c r="E1009" s="44"/>
      <c r="F1009" s="44"/>
      <c r="G1009" s="44"/>
      <c r="H1009" s="44"/>
      <c r="I1009" s="44"/>
      <c r="J1009" s="76"/>
    </row>
    <row r="1010" ht="20.25" customHeight="1">
      <c r="A1010" s="44"/>
      <c r="B1010" s="44"/>
      <c r="C1010" s="44"/>
      <c r="D1010" s="44"/>
      <c r="E1010" s="44"/>
      <c r="F1010" s="44"/>
      <c r="G1010" s="44"/>
      <c r="H1010" s="44"/>
      <c r="I1010" s="44"/>
      <c r="J1010" s="76"/>
    </row>
    <row r="1011" ht="20.25" customHeight="1">
      <c r="A1011" s="44"/>
      <c r="B1011" s="44"/>
      <c r="C1011" s="44"/>
      <c r="D1011" s="44"/>
      <c r="E1011" s="44"/>
      <c r="F1011" s="44"/>
      <c r="G1011" s="44"/>
      <c r="H1011" s="44"/>
      <c r="I1011" s="44"/>
      <c r="J1011" s="76"/>
    </row>
    <row r="1012" ht="20.25" customHeight="1">
      <c r="A1012" s="44"/>
      <c r="B1012" s="44"/>
      <c r="C1012" s="44"/>
      <c r="D1012" s="44"/>
      <c r="E1012" s="44"/>
      <c r="F1012" s="44"/>
      <c r="G1012" s="44"/>
      <c r="H1012" s="44"/>
      <c r="I1012" s="44"/>
      <c r="J1012" s="76"/>
    </row>
    <row r="1013" ht="20.25" customHeight="1">
      <c r="A1013" s="44"/>
      <c r="B1013" s="44"/>
      <c r="C1013" s="44"/>
      <c r="D1013" s="44"/>
      <c r="E1013" s="44"/>
      <c r="F1013" s="44"/>
      <c r="G1013" s="44"/>
      <c r="H1013" s="44"/>
      <c r="I1013" s="44"/>
      <c r="J1013" s="76"/>
    </row>
    <row r="1014" ht="20.25" customHeight="1">
      <c r="A1014" s="44"/>
      <c r="B1014" s="44"/>
      <c r="C1014" s="44"/>
      <c r="D1014" s="44"/>
      <c r="E1014" s="44"/>
      <c r="F1014" s="44"/>
      <c r="G1014" s="44"/>
      <c r="H1014" s="44"/>
      <c r="I1014" s="44"/>
      <c r="J1014" s="76"/>
    </row>
    <row r="1015" ht="20.25" customHeight="1">
      <c r="A1015" s="44"/>
      <c r="B1015" s="44"/>
      <c r="C1015" s="44"/>
      <c r="D1015" s="44"/>
      <c r="E1015" s="44"/>
      <c r="F1015" s="44"/>
      <c r="G1015" s="44"/>
      <c r="H1015" s="44"/>
      <c r="I1015" s="44"/>
      <c r="J1015" s="76"/>
    </row>
    <row r="1016" ht="20.25" customHeight="1">
      <c r="A1016" s="44"/>
      <c r="B1016" s="44"/>
      <c r="C1016" s="44"/>
      <c r="D1016" s="44"/>
      <c r="E1016" s="44"/>
      <c r="F1016" s="44"/>
      <c r="G1016" s="44"/>
      <c r="H1016" s="44"/>
      <c r="I1016" s="44"/>
      <c r="J1016" s="76"/>
    </row>
    <row r="1017" ht="20.25" customHeight="1">
      <c r="A1017" s="44"/>
      <c r="B1017" s="44"/>
      <c r="C1017" s="44"/>
      <c r="D1017" s="44"/>
      <c r="E1017" s="44"/>
      <c r="F1017" s="44"/>
      <c r="G1017" s="44"/>
      <c r="H1017" s="44"/>
      <c r="I1017" s="44"/>
      <c r="J1017" s="76"/>
    </row>
    <row r="1018" ht="20.25" customHeight="1">
      <c r="A1018" s="44"/>
      <c r="B1018" s="44"/>
      <c r="C1018" s="44"/>
      <c r="D1018" s="44"/>
      <c r="E1018" s="44"/>
      <c r="F1018" s="44"/>
      <c r="G1018" s="44"/>
      <c r="H1018" s="44"/>
      <c r="I1018" s="44"/>
      <c r="J1018" s="76"/>
    </row>
    <row r="1019" ht="20.25" customHeight="1">
      <c r="A1019" s="44"/>
      <c r="B1019" s="44"/>
      <c r="C1019" s="44"/>
      <c r="D1019" s="44"/>
      <c r="E1019" s="44"/>
      <c r="F1019" s="44"/>
      <c r="G1019" s="44"/>
      <c r="H1019" s="44"/>
      <c r="I1019" s="44"/>
      <c r="J1019" s="76"/>
    </row>
    <row r="1020" ht="20.25" customHeight="1">
      <c r="A1020" s="44"/>
      <c r="B1020" s="44"/>
      <c r="C1020" s="44"/>
      <c r="D1020" s="44"/>
      <c r="E1020" s="44"/>
      <c r="F1020" s="44"/>
      <c r="G1020" s="44"/>
      <c r="H1020" s="44"/>
      <c r="I1020" s="44"/>
      <c r="J1020" s="76"/>
    </row>
    <row r="1021" ht="20.25" customHeight="1">
      <c r="A1021" s="44"/>
      <c r="B1021" s="44"/>
      <c r="C1021" s="44"/>
      <c r="D1021" s="44"/>
      <c r="E1021" s="44"/>
      <c r="F1021" s="44"/>
      <c r="G1021" s="44"/>
      <c r="H1021" s="44"/>
      <c r="I1021" s="44"/>
      <c r="J1021" s="76"/>
    </row>
    <row r="1022" ht="20.25" customHeight="1">
      <c r="A1022" s="44"/>
      <c r="B1022" s="44"/>
      <c r="C1022" s="44"/>
      <c r="D1022" s="44"/>
      <c r="E1022" s="44"/>
      <c r="F1022" s="44"/>
      <c r="G1022" s="44"/>
      <c r="H1022" s="44"/>
      <c r="I1022" s="44"/>
      <c r="J1022" s="76"/>
    </row>
    <row r="1023" ht="20.25" customHeight="1">
      <c r="A1023" s="44"/>
      <c r="B1023" s="44"/>
      <c r="C1023" s="44"/>
      <c r="D1023" s="44"/>
      <c r="E1023" s="44"/>
      <c r="F1023" s="44"/>
      <c r="G1023" s="44"/>
      <c r="H1023" s="44"/>
      <c r="I1023" s="44"/>
      <c r="J1023" s="76"/>
    </row>
    <row r="1024" ht="20.25" customHeight="1">
      <c r="A1024" s="44"/>
      <c r="B1024" s="44"/>
      <c r="C1024" s="44"/>
      <c r="D1024" s="44"/>
      <c r="E1024" s="44"/>
      <c r="F1024" s="44"/>
      <c r="G1024" s="44"/>
      <c r="H1024" s="44"/>
      <c r="I1024" s="44"/>
      <c r="J1024" s="76"/>
    </row>
    <row r="1025" ht="20.25" customHeight="1">
      <c r="A1025" s="44"/>
      <c r="B1025" s="44"/>
      <c r="C1025" s="44"/>
      <c r="D1025" s="44"/>
      <c r="E1025" s="44"/>
      <c r="F1025" s="44"/>
      <c r="G1025" s="44"/>
      <c r="H1025" s="44"/>
      <c r="I1025" s="44"/>
      <c r="J1025" s="76"/>
    </row>
    <row r="1026" ht="20.25" customHeight="1">
      <c r="A1026" s="44"/>
      <c r="B1026" s="44"/>
      <c r="C1026" s="44"/>
      <c r="D1026" s="44"/>
      <c r="E1026" s="44"/>
      <c r="F1026" s="44"/>
      <c r="G1026" s="44"/>
      <c r="H1026" s="44"/>
      <c r="I1026" s="44"/>
      <c r="J1026" s="76"/>
    </row>
    <row r="1027" ht="20.25" customHeight="1">
      <c r="A1027" s="44"/>
      <c r="B1027" s="44"/>
      <c r="C1027" s="44"/>
      <c r="D1027" s="44"/>
      <c r="E1027" s="44"/>
      <c r="F1027" s="44"/>
      <c r="G1027" s="44"/>
      <c r="H1027" s="44"/>
      <c r="I1027" s="44"/>
      <c r="J1027" s="76"/>
    </row>
    <row r="1028" ht="20.25" customHeight="1">
      <c r="A1028" s="44"/>
      <c r="B1028" s="44"/>
      <c r="C1028" s="44"/>
      <c r="D1028" s="44"/>
      <c r="E1028" s="44"/>
      <c r="F1028" s="44"/>
      <c r="G1028" s="44"/>
      <c r="H1028" s="44"/>
      <c r="I1028" s="44"/>
      <c r="J1028" s="76"/>
    </row>
    <row r="1029" ht="20.25" customHeight="1">
      <c r="A1029" s="44"/>
      <c r="B1029" s="44"/>
      <c r="C1029" s="44"/>
      <c r="D1029" s="44"/>
      <c r="E1029" s="44"/>
      <c r="F1029" s="44"/>
      <c r="G1029" s="44"/>
      <c r="H1029" s="44"/>
      <c r="I1029" s="44"/>
      <c r="J1029" s="76"/>
    </row>
    <row r="1030" ht="20.25" customHeight="1">
      <c r="A1030" s="44"/>
      <c r="B1030" s="44"/>
      <c r="C1030" s="44"/>
      <c r="D1030" s="44"/>
      <c r="E1030" s="44"/>
      <c r="F1030" s="44"/>
      <c r="G1030" s="44"/>
      <c r="H1030" s="44"/>
      <c r="I1030" s="44"/>
      <c r="J1030" s="76"/>
    </row>
    <row r="1031" ht="20.25" customHeight="1">
      <c r="A1031" s="44"/>
      <c r="B1031" s="44"/>
      <c r="C1031" s="44"/>
      <c r="D1031" s="44"/>
      <c r="E1031" s="44"/>
      <c r="F1031" s="44"/>
      <c r="G1031" s="44"/>
      <c r="H1031" s="44"/>
      <c r="I1031" s="44"/>
      <c r="J1031" s="76"/>
    </row>
    <row r="1032" ht="20.25" customHeight="1">
      <c r="A1032" s="44"/>
      <c r="B1032" s="44"/>
      <c r="C1032" s="44"/>
      <c r="D1032" s="44"/>
      <c r="E1032" s="44"/>
      <c r="F1032" s="44"/>
      <c r="G1032" s="44"/>
      <c r="H1032" s="44"/>
      <c r="I1032" s="44"/>
      <c r="J1032" s="76"/>
    </row>
    <row r="1033" ht="20.25" customHeight="1">
      <c r="A1033" s="44"/>
      <c r="B1033" s="44"/>
      <c r="C1033" s="44"/>
      <c r="D1033" s="44"/>
      <c r="E1033" s="44"/>
      <c r="F1033" s="44"/>
      <c r="G1033" s="44"/>
      <c r="H1033" s="44"/>
      <c r="I1033" s="44"/>
      <c r="J1033" s="76"/>
    </row>
    <row r="1034" ht="20.25" customHeight="1">
      <c r="A1034" s="44"/>
      <c r="B1034" s="44"/>
      <c r="C1034" s="44"/>
      <c r="D1034" s="44"/>
      <c r="E1034" s="44"/>
      <c r="F1034" s="44"/>
      <c r="G1034" s="44"/>
      <c r="H1034" s="44"/>
      <c r="I1034" s="44"/>
      <c r="J1034" s="76"/>
    </row>
    <row r="1035" ht="20.25" customHeight="1">
      <c r="A1035" s="44"/>
      <c r="B1035" s="44"/>
      <c r="C1035" s="44"/>
      <c r="D1035" s="44"/>
      <c r="E1035" s="44"/>
      <c r="F1035" s="44"/>
      <c r="G1035" s="44"/>
      <c r="H1035" s="44"/>
      <c r="I1035" s="44"/>
      <c r="J1035" s="76"/>
    </row>
    <row r="1036" ht="20.25" customHeight="1">
      <c r="A1036" s="44"/>
      <c r="B1036" s="44"/>
      <c r="C1036" s="44"/>
      <c r="D1036" s="44"/>
      <c r="E1036" s="44"/>
      <c r="F1036" s="44"/>
      <c r="G1036" s="44"/>
      <c r="H1036" s="44"/>
      <c r="I1036" s="44"/>
      <c r="J1036" s="76"/>
    </row>
    <row r="1037" ht="20.25" customHeight="1">
      <c r="A1037" s="44"/>
      <c r="B1037" s="44"/>
      <c r="C1037" s="44"/>
      <c r="D1037" s="44"/>
      <c r="E1037" s="44"/>
      <c r="F1037" s="44"/>
      <c r="G1037" s="44"/>
      <c r="H1037" s="44"/>
      <c r="I1037" s="44"/>
      <c r="J1037" s="76"/>
    </row>
    <row r="1038" ht="20.25" customHeight="1">
      <c r="A1038" s="44"/>
      <c r="B1038" s="44"/>
      <c r="C1038" s="44"/>
      <c r="D1038" s="44"/>
      <c r="E1038" s="44"/>
      <c r="F1038" s="44"/>
      <c r="G1038" s="44"/>
      <c r="H1038" s="44"/>
      <c r="I1038" s="44"/>
      <c r="J1038" s="76"/>
    </row>
    <row r="1039" ht="20.25" customHeight="1">
      <c r="A1039" s="44"/>
      <c r="B1039" s="44"/>
      <c r="C1039" s="44"/>
      <c r="D1039" s="44"/>
      <c r="E1039" s="44"/>
      <c r="F1039" s="44"/>
      <c r="G1039" s="44"/>
      <c r="H1039" s="44"/>
      <c r="I1039" s="44"/>
      <c r="J1039" s="76"/>
    </row>
    <row r="1040" ht="20.25" customHeight="1">
      <c r="A1040" s="44"/>
      <c r="B1040" s="44"/>
      <c r="C1040" s="44"/>
      <c r="D1040" s="44"/>
      <c r="E1040" s="44"/>
      <c r="F1040" s="44"/>
      <c r="G1040" s="44"/>
      <c r="H1040" s="44"/>
      <c r="I1040" s="44"/>
      <c r="J1040" s="76"/>
    </row>
    <row r="1041" ht="20.25" customHeight="1">
      <c r="A1041" s="44"/>
      <c r="B1041" s="44"/>
      <c r="C1041" s="44"/>
      <c r="D1041" s="44"/>
      <c r="E1041" s="44"/>
      <c r="F1041" s="44"/>
      <c r="G1041" s="44"/>
      <c r="H1041" s="44"/>
      <c r="I1041" s="44"/>
      <c r="J1041" s="76"/>
    </row>
    <row r="1042" ht="20.25" customHeight="1">
      <c r="A1042" s="44"/>
      <c r="B1042" s="44"/>
      <c r="C1042" s="44"/>
      <c r="D1042" s="44"/>
      <c r="E1042" s="44"/>
      <c r="F1042" s="44"/>
      <c r="G1042" s="44"/>
      <c r="H1042" s="44"/>
      <c r="I1042" s="44"/>
      <c r="J1042" s="76"/>
    </row>
    <row r="1043" ht="20.25" customHeight="1">
      <c r="A1043" s="44"/>
      <c r="B1043" s="44"/>
      <c r="C1043" s="44"/>
      <c r="D1043" s="44"/>
      <c r="E1043" s="44"/>
      <c r="F1043" s="44"/>
      <c r="G1043" s="44"/>
      <c r="H1043" s="44"/>
      <c r="I1043" s="44"/>
      <c r="J1043" s="76"/>
    </row>
    <row r="1044" ht="20.25" customHeight="1">
      <c r="A1044" s="44"/>
      <c r="B1044" s="44"/>
      <c r="C1044" s="44"/>
      <c r="D1044" s="44"/>
      <c r="E1044" s="44"/>
      <c r="F1044" s="44"/>
      <c r="G1044" s="44"/>
      <c r="H1044" s="44"/>
      <c r="I1044" s="44"/>
      <c r="J1044" s="76"/>
    </row>
    <row r="1045" ht="20.25" customHeight="1">
      <c r="A1045" s="44"/>
      <c r="B1045" s="44"/>
      <c r="C1045" s="44"/>
      <c r="D1045" s="44"/>
      <c r="E1045" s="44"/>
      <c r="F1045" s="44"/>
      <c r="G1045" s="44"/>
      <c r="H1045" s="44"/>
      <c r="I1045" s="44"/>
      <c r="J1045" s="76"/>
    </row>
    <row r="1046" ht="20.25" customHeight="1">
      <c r="A1046" s="44"/>
      <c r="B1046" s="44"/>
      <c r="C1046" s="44"/>
      <c r="D1046" s="44"/>
      <c r="E1046" s="44"/>
      <c r="F1046" s="44"/>
      <c r="G1046" s="44"/>
      <c r="H1046" s="44"/>
      <c r="I1046" s="44"/>
      <c r="J1046" s="76"/>
    </row>
    <row r="1047" ht="20.25" customHeight="1">
      <c r="A1047" s="44"/>
      <c r="B1047" s="44"/>
      <c r="C1047" s="44"/>
      <c r="D1047" s="44"/>
      <c r="E1047" s="44"/>
      <c r="F1047" s="44"/>
      <c r="G1047" s="44"/>
      <c r="H1047" s="44"/>
      <c r="I1047" s="44"/>
      <c r="J1047" s="76"/>
    </row>
    <row r="1048" ht="20.25" customHeight="1">
      <c r="A1048" s="44"/>
      <c r="B1048" s="44"/>
      <c r="C1048" s="44"/>
      <c r="D1048" s="44"/>
      <c r="E1048" s="44"/>
      <c r="F1048" s="44"/>
      <c r="G1048" s="44"/>
      <c r="H1048" s="44"/>
      <c r="I1048" s="44"/>
      <c r="J1048" s="76"/>
    </row>
    <row r="1049" ht="20.25" customHeight="1">
      <c r="A1049" s="44"/>
      <c r="B1049" s="44"/>
      <c r="C1049" s="44"/>
      <c r="D1049" s="44"/>
      <c r="E1049" s="44"/>
      <c r="F1049" s="44"/>
      <c r="G1049" s="44"/>
      <c r="H1049" s="44"/>
      <c r="I1049" s="44"/>
      <c r="J1049" s="76"/>
    </row>
    <row r="1050" ht="20.25" customHeight="1">
      <c r="A1050" s="44"/>
      <c r="B1050" s="44"/>
      <c r="C1050" s="44"/>
      <c r="D1050" s="44"/>
      <c r="E1050" s="44"/>
      <c r="F1050" s="44"/>
      <c r="G1050" s="44"/>
      <c r="H1050" s="44"/>
      <c r="I1050" s="44"/>
      <c r="J1050" s="76"/>
    </row>
    <row r="1051" ht="20.25" customHeight="1">
      <c r="A1051" s="44"/>
      <c r="B1051" s="44"/>
      <c r="C1051" s="44"/>
      <c r="D1051" s="44"/>
      <c r="E1051" s="44"/>
      <c r="F1051" s="44"/>
      <c r="G1051" s="44"/>
      <c r="H1051" s="44"/>
      <c r="I1051" s="44"/>
      <c r="J1051" s="76"/>
    </row>
    <row r="1052" ht="20.25" customHeight="1">
      <c r="A1052" s="44"/>
      <c r="B1052" s="44"/>
      <c r="C1052" s="44"/>
      <c r="D1052" s="44"/>
      <c r="E1052" s="44"/>
      <c r="F1052" s="44"/>
      <c r="G1052" s="44"/>
      <c r="H1052" s="44"/>
      <c r="I1052" s="44"/>
      <c r="J1052" s="76"/>
    </row>
    <row r="1053" ht="20.25" customHeight="1">
      <c r="A1053" s="44"/>
      <c r="B1053" s="44"/>
      <c r="C1053" s="44"/>
      <c r="D1053" s="44"/>
      <c r="E1053" s="44"/>
      <c r="F1053" s="44"/>
      <c r="G1053" s="44"/>
      <c r="H1053" s="44"/>
      <c r="I1053" s="44"/>
      <c r="J1053" s="76"/>
    </row>
    <row r="1054" ht="20.25" customHeight="1">
      <c r="A1054" s="44"/>
      <c r="B1054" s="44"/>
      <c r="C1054" s="44"/>
      <c r="D1054" s="44"/>
      <c r="E1054" s="44"/>
      <c r="F1054" s="44"/>
      <c r="G1054" s="44"/>
      <c r="H1054" s="44"/>
      <c r="I1054" s="44"/>
      <c r="J1054" s="76"/>
    </row>
    <row r="1055" ht="20.25" customHeight="1">
      <c r="A1055" s="44"/>
      <c r="B1055" s="44"/>
      <c r="C1055" s="44"/>
      <c r="D1055" s="44"/>
      <c r="E1055" s="44"/>
      <c r="F1055" s="44"/>
      <c r="G1055" s="44"/>
      <c r="H1055" s="44"/>
      <c r="I1055" s="44"/>
      <c r="J1055" s="76"/>
    </row>
    <row r="1056" ht="20.25" customHeight="1">
      <c r="A1056" s="44"/>
      <c r="B1056" s="44"/>
      <c r="C1056" s="44"/>
      <c r="D1056" s="44"/>
      <c r="E1056" s="44"/>
      <c r="F1056" s="44"/>
      <c r="G1056" s="44"/>
      <c r="H1056" s="44"/>
      <c r="I1056" s="44"/>
      <c r="J1056" s="76"/>
    </row>
    <row r="1057" ht="20.25" customHeight="1">
      <c r="A1057" s="44"/>
      <c r="B1057" s="44"/>
      <c r="C1057" s="44"/>
      <c r="D1057" s="44"/>
      <c r="E1057" s="44"/>
      <c r="F1057" s="44"/>
      <c r="G1057" s="44"/>
      <c r="H1057" s="44"/>
      <c r="I1057" s="44"/>
      <c r="J1057" s="76"/>
    </row>
    <row r="1058" ht="20.25" customHeight="1">
      <c r="A1058" s="44"/>
      <c r="B1058" s="44"/>
      <c r="C1058" s="44"/>
      <c r="D1058" s="44"/>
      <c r="E1058" s="44"/>
      <c r="F1058" s="44"/>
      <c r="G1058" s="44"/>
      <c r="H1058" s="44"/>
      <c r="I1058" s="44"/>
      <c r="J1058" s="76"/>
    </row>
    <row r="1059" ht="20.25" customHeight="1">
      <c r="A1059" s="44"/>
      <c r="B1059" s="44"/>
      <c r="C1059" s="44"/>
      <c r="D1059" s="44"/>
      <c r="E1059" s="44"/>
      <c r="F1059" s="44"/>
      <c r="G1059" s="44"/>
      <c r="H1059" s="44"/>
      <c r="I1059" s="44"/>
      <c r="J1059" s="76"/>
    </row>
    <row r="1060" ht="20.25" customHeight="1">
      <c r="A1060" s="44"/>
      <c r="B1060" s="44"/>
      <c r="C1060" s="44"/>
      <c r="D1060" s="44"/>
      <c r="E1060" s="44"/>
      <c r="F1060" s="44"/>
      <c r="G1060" s="44"/>
      <c r="H1060" s="44"/>
      <c r="I1060" s="44"/>
      <c r="J1060" s="76"/>
    </row>
    <row r="1061" ht="20.25" customHeight="1">
      <c r="A1061" s="44"/>
      <c r="B1061" s="44"/>
      <c r="C1061" s="44"/>
      <c r="D1061" s="44"/>
      <c r="E1061" s="44"/>
      <c r="F1061" s="44"/>
      <c r="G1061" s="44"/>
      <c r="H1061" s="44"/>
      <c r="I1061" s="44"/>
      <c r="J1061" s="76"/>
    </row>
    <row r="1062" ht="20.25" customHeight="1">
      <c r="A1062" s="44"/>
      <c r="B1062" s="44"/>
      <c r="C1062" s="44"/>
      <c r="D1062" s="44"/>
      <c r="E1062" s="44"/>
      <c r="F1062" s="44"/>
      <c r="G1062" s="44"/>
      <c r="H1062" s="44"/>
      <c r="I1062" s="44"/>
      <c r="J1062" s="76"/>
    </row>
    <row r="1063" ht="20.25" customHeight="1">
      <c r="A1063" s="44"/>
      <c r="B1063" s="44"/>
      <c r="C1063" s="44"/>
      <c r="D1063" s="44"/>
      <c r="E1063" s="44"/>
      <c r="F1063" s="44"/>
      <c r="G1063" s="44"/>
      <c r="H1063" s="44"/>
      <c r="I1063" s="44"/>
      <c r="J1063" s="76"/>
    </row>
    <row r="1064" ht="20.25" customHeight="1">
      <c r="A1064" s="44"/>
      <c r="B1064" s="44"/>
      <c r="C1064" s="44"/>
      <c r="D1064" s="44"/>
      <c r="E1064" s="44"/>
      <c r="F1064" s="44"/>
      <c r="G1064" s="44"/>
      <c r="H1064" s="44"/>
      <c r="I1064" s="44"/>
      <c r="J1064" s="76"/>
    </row>
    <row r="1065" ht="20.25" customHeight="1">
      <c r="A1065" s="44"/>
      <c r="B1065" s="44"/>
      <c r="C1065" s="44"/>
      <c r="D1065" s="44"/>
      <c r="E1065" s="44"/>
      <c r="F1065" s="44"/>
      <c r="G1065" s="44"/>
      <c r="H1065" s="44"/>
      <c r="I1065" s="44"/>
      <c r="J1065" s="76"/>
    </row>
    <row r="1066" ht="20.25" customHeight="1">
      <c r="A1066" s="44"/>
      <c r="B1066" s="44"/>
      <c r="C1066" s="44"/>
      <c r="D1066" s="44"/>
      <c r="E1066" s="44"/>
      <c r="F1066" s="44"/>
      <c r="G1066" s="44"/>
      <c r="H1066" s="44"/>
      <c r="I1066" s="44"/>
      <c r="J1066" s="76"/>
    </row>
    <row r="1067" ht="20.25" customHeight="1">
      <c r="A1067" s="44"/>
      <c r="B1067" s="44"/>
      <c r="C1067" s="44"/>
      <c r="D1067" s="44"/>
      <c r="E1067" s="44"/>
      <c r="F1067" s="44"/>
      <c r="G1067" s="44"/>
      <c r="H1067" s="44"/>
      <c r="I1067" s="44"/>
      <c r="J1067" s="76"/>
    </row>
    <row r="1068" ht="20.25" customHeight="1">
      <c r="A1068" s="44"/>
      <c r="B1068" s="44"/>
      <c r="C1068" s="44"/>
      <c r="D1068" s="44"/>
      <c r="E1068" s="44"/>
      <c r="F1068" s="44"/>
      <c r="G1068" s="44"/>
      <c r="H1068" s="44"/>
      <c r="I1068" s="44"/>
      <c r="J1068" s="76"/>
    </row>
    <row r="1069" ht="20.25" customHeight="1">
      <c r="A1069" s="44"/>
      <c r="B1069" s="44"/>
      <c r="C1069" s="44"/>
      <c r="D1069" s="44"/>
      <c r="E1069" s="44"/>
      <c r="F1069" s="44"/>
      <c r="G1069" s="44"/>
      <c r="H1069" s="44"/>
      <c r="I1069" s="44"/>
      <c r="J1069" s="76"/>
    </row>
    <row r="1070" ht="20.25" customHeight="1">
      <c r="A1070" s="44"/>
      <c r="B1070" s="44"/>
      <c r="C1070" s="44"/>
      <c r="D1070" s="44"/>
      <c r="E1070" s="44"/>
      <c r="F1070" s="44"/>
      <c r="G1070" s="44"/>
      <c r="H1070" s="44"/>
      <c r="I1070" s="44"/>
      <c r="J1070" s="76"/>
    </row>
    <row r="1071" ht="20.25" customHeight="1">
      <c r="A1071" s="44"/>
      <c r="B1071" s="44"/>
      <c r="C1071" s="44"/>
      <c r="D1071" s="44"/>
      <c r="E1071" s="44"/>
      <c r="F1071" s="44"/>
      <c r="G1071" s="44"/>
      <c r="H1071" s="44"/>
      <c r="I1071" s="44"/>
      <c r="J1071" s="76"/>
    </row>
    <row r="1072" ht="20.25" customHeight="1">
      <c r="A1072" s="44"/>
      <c r="B1072" s="44"/>
      <c r="C1072" s="44"/>
      <c r="D1072" s="44"/>
      <c r="E1072" s="44"/>
      <c r="F1072" s="44"/>
      <c r="G1072" s="44"/>
      <c r="H1072" s="44"/>
      <c r="I1072" s="44"/>
      <c r="J1072" s="76"/>
    </row>
    <row r="1073" ht="20.25" customHeight="1">
      <c r="A1073" s="44"/>
      <c r="B1073" s="44"/>
      <c r="C1073" s="44"/>
      <c r="D1073" s="44"/>
      <c r="E1073" s="44"/>
      <c r="F1073" s="44"/>
      <c r="G1073" s="44"/>
      <c r="H1073" s="44"/>
      <c r="I1073" s="44"/>
      <c r="J1073" s="76"/>
    </row>
    <row r="1074" ht="20.25" customHeight="1">
      <c r="A1074" s="44"/>
      <c r="B1074" s="44"/>
      <c r="C1074" s="44"/>
      <c r="D1074" s="44"/>
      <c r="E1074" s="44"/>
      <c r="F1074" s="44"/>
      <c r="G1074" s="44"/>
      <c r="H1074" s="44"/>
      <c r="I1074" s="44"/>
      <c r="J1074" s="76"/>
    </row>
    <row r="1075" ht="20.25" customHeight="1">
      <c r="A1075" s="44"/>
      <c r="B1075" s="44"/>
      <c r="C1075" s="44"/>
      <c r="D1075" s="44"/>
      <c r="E1075" s="44"/>
      <c r="F1075" s="44"/>
      <c r="G1075" s="44"/>
      <c r="H1075" s="44"/>
      <c r="I1075" s="44"/>
      <c r="J1075" s="76"/>
    </row>
    <row r="1076" ht="20.25" customHeight="1">
      <c r="A1076" s="44"/>
      <c r="B1076" s="44"/>
      <c r="C1076" s="44"/>
      <c r="D1076" s="44"/>
      <c r="E1076" s="44"/>
      <c r="F1076" s="44"/>
      <c r="G1076" s="44"/>
      <c r="H1076" s="44"/>
      <c r="I1076" s="44"/>
      <c r="J1076" s="76"/>
    </row>
    <row r="1077" ht="20.25" customHeight="1">
      <c r="A1077" s="44"/>
      <c r="B1077" s="44"/>
      <c r="C1077" s="44"/>
      <c r="D1077" s="44"/>
      <c r="E1077" s="44"/>
      <c r="F1077" s="44"/>
      <c r="G1077" s="44"/>
      <c r="H1077" s="44"/>
      <c r="I1077" s="44"/>
      <c r="J1077" s="76"/>
    </row>
    <row r="1078" ht="20.25" customHeight="1">
      <c r="A1078" s="44"/>
      <c r="B1078" s="44"/>
      <c r="C1078" s="44"/>
      <c r="D1078" s="44"/>
      <c r="E1078" s="44"/>
      <c r="F1078" s="44"/>
      <c r="G1078" s="44"/>
      <c r="H1078" s="44"/>
      <c r="I1078" s="44"/>
      <c r="J1078" s="76"/>
    </row>
    <row r="1079" ht="20.25" customHeight="1">
      <c r="A1079" s="44"/>
      <c r="B1079" s="44"/>
      <c r="C1079" s="44"/>
      <c r="D1079" s="44"/>
      <c r="E1079" s="44"/>
      <c r="F1079" s="44"/>
      <c r="G1079" s="44"/>
      <c r="H1079" s="44"/>
      <c r="I1079" s="44"/>
      <c r="J1079" s="76"/>
    </row>
    <row r="1080" ht="20.25" customHeight="1">
      <c r="A1080" s="44"/>
      <c r="B1080" s="44"/>
      <c r="C1080" s="44"/>
      <c r="D1080" s="44"/>
      <c r="E1080" s="44"/>
      <c r="F1080" s="44"/>
      <c r="G1080" s="44"/>
      <c r="H1080" s="44"/>
      <c r="I1080" s="44"/>
      <c r="J1080" s="76"/>
    </row>
    <row r="1081" ht="20.25" customHeight="1">
      <c r="A1081" s="44"/>
      <c r="B1081" s="44"/>
      <c r="C1081" s="44"/>
      <c r="D1081" s="44"/>
      <c r="E1081" s="44"/>
      <c r="F1081" s="44"/>
      <c r="G1081" s="44"/>
      <c r="H1081" s="44"/>
      <c r="I1081" s="44"/>
      <c r="J1081" s="76"/>
    </row>
    <row r="1082" ht="20.25" customHeight="1">
      <c r="A1082" s="44"/>
      <c r="B1082" s="44"/>
      <c r="C1082" s="44"/>
      <c r="D1082" s="44"/>
      <c r="E1082" s="44"/>
      <c r="F1082" s="44"/>
      <c r="G1082" s="44"/>
      <c r="H1082" s="44"/>
      <c r="I1082" s="44"/>
      <c r="J1082" s="76"/>
    </row>
    <row r="1083" ht="20.25" customHeight="1">
      <c r="A1083" s="44"/>
      <c r="B1083" s="44"/>
      <c r="C1083" s="44"/>
      <c r="D1083" s="44"/>
      <c r="E1083" s="44"/>
      <c r="F1083" s="44"/>
      <c r="G1083" s="44"/>
      <c r="H1083" s="44"/>
      <c r="I1083" s="44"/>
      <c r="J1083" s="76"/>
    </row>
    <row r="1084" ht="20.25" customHeight="1">
      <c r="A1084" s="44"/>
      <c r="B1084" s="44"/>
      <c r="C1084" s="44"/>
      <c r="D1084" s="44"/>
      <c r="E1084" s="44"/>
      <c r="F1084" s="44"/>
      <c r="G1084" s="44"/>
      <c r="H1084" s="44"/>
      <c r="I1084" s="44"/>
      <c r="J1084" s="76"/>
    </row>
    <row r="1085" ht="20.25" customHeight="1">
      <c r="A1085" s="44"/>
      <c r="B1085" s="44"/>
      <c r="C1085" s="44"/>
      <c r="D1085" s="44"/>
      <c r="E1085" s="44"/>
      <c r="F1085" s="44"/>
      <c r="G1085" s="44"/>
      <c r="H1085" s="44"/>
      <c r="I1085" s="44"/>
      <c r="J1085" s="76"/>
    </row>
    <row r="1086" ht="20.25" customHeight="1">
      <c r="A1086" s="44"/>
      <c r="B1086" s="44"/>
      <c r="C1086" s="44"/>
      <c r="D1086" s="44"/>
      <c r="E1086" s="44"/>
      <c r="F1086" s="44"/>
      <c r="G1086" s="44"/>
      <c r="H1086" s="44"/>
      <c r="I1086" s="44"/>
      <c r="J1086" s="76"/>
    </row>
    <row r="1087" ht="20.25" customHeight="1">
      <c r="A1087" s="44"/>
      <c r="B1087" s="44"/>
      <c r="C1087" s="44"/>
      <c r="D1087" s="44"/>
      <c r="E1087" s="44"/>
      <c r="F1087" s="44"/>
      <c r="G1087" s="44"/>
      <c r="H1087" s="44"/>
      <c r="I1087" s="44"/>
      <c r="J1087" s="76"/>
    </row>
    <row r="1088" ht="20.25" customHeight="1">
      <c r="A1088" s="44"/>
      <c r="B1088" s="44"/>
      <c r="C1088" s="44"/>
      <c r="D1088" s="44"/>
      <c r="E1088" s="44"/>
      <c r="F1088" s="44"/>
      <c r="G1088" s="44"/>
      <c r="H1088" s="44"/>
      <c r="I1088" s="44"/>
      <c r="J1088" s="76"/>
    </row>
    <row r="1089" ht="20.25" customHeight="1">
      <c r="A1089" s="44"/>
      <c r="B1089" s="44"/>
      <c r="C1089" s="44"/>
      <c r="D1089" s="44"/>
      <c r="E1089" s="44"/>
      <c r="F1089" s="44"/>
      <c r="G1089" s="44"/>
      <c r="H1089" s="44"/>
      <c r="I1089" s="44"/>
      <c r="J1089" s="76"/>
    </row>
    <row r="1090" ht="20.25" customHeight="1">
      <c r="A1090" s="44"/>
      <c r="B1090" s="44"/>
      <c r="C1090" s="44"/>
      <c r="D1090" s="44"/>
      <c r="E1090" s="44"/>
      <c r="F1090" s="44"/>
      <c r="G1090" s="44"/>
      <c r="H1090" s="44"/>
      <c r="I1090" s="44"/>
      <c r="J1090" s="76"/>
    </row>
    <row r="1091" ht="20.25" customHeight="1">
      <c r="A1091" s="44"/>
      <c r="B1091" s="44"/>
      <c r="C1091" s="44"/>
      <c r="D1091" s="44"/>
      <c r="E1091" s="44"/>
      <c r="F1091" s="44"/>
      <c r="G1091" s="44"/>
      <c r="H1091" s="44"/>
      <c r="I1091" s="44"/>
      <c r="J1091" s="76"/>
    </row>
    <row r="1092" ht="20.25" customHeight="1">
      <c r="A1092" s="44"/>
      <c r="B1092" s="44"/>
      <c r="C1092" s="44"/>
      <c r="D1092" s="44"/>
      <c r="E1092" s="44"/>
      <c r="F1092" s="44"/>
      <c r="G1092" s="44"/>
      <c r="H1092" s="44"/>
      <c r="I1092" s="44"/>
      <c r="J1092" s="76"/>
    </row>
    <row r="1093" ht="20.25" customHeight="1">
      <c r="A1093" s="44"/>
      <c r="B1093" s="44"/>
      <c r="C1093" s="44"/>
      <c r="D1093" s="44"/>
      <c r="E1093" s="44"/>
      <c r="F1093" s="44"/>
      <c r="G1093" s="44"/>
      <c r="H1093" s="44"/>
      <c r="I1093" s="44"/>
      <c r="J1093" s="76"/>
    </row>
    <row r="1094" ht="20.25" customHeight="1">
      <c r="A1094" s="44"/>
      <c r="B1094" s="44"/>
      <c r="C1094" s="44"/>
      <c r="D1094" s="44"/>
      <c r="E1094" s="44"/>
      <c r="F1094" s="44"/>
      <c r="G1094" s="44"/>
      <c r="H1094" s="44"/>
      <c r="I1094" s="44"/>
      <c r="J1094" s="76"/>
    </row>
    <row r="1095" ht="20.25" customHeight="1">
      <c r="A1095" s="44"/>
      <c r="B1095" s="44"/>
      <c r="C1095" s="44"/>
      <c r="D1095" s="44"/>
      <c r="E1095" s="44"/>
      <c r="F1095" s="44"/>
      <c r="G1095" s="44"/>
      <c r="H1095" s="44"/>
      <c r="I1095" s="44"/>
      <c r="J1095" s="76"/>
    </row>
    <row r="1096" ht="20.25" customHeight="1">
      <c r="A1096" s="44"/>
      <c r="B1096" s="44"/>
      <c r="C1096" s="44"/>
      <c r="D1096" s="44"/>
      <c r="E1096" s="44"/>
      <c r="F1096" s="44"/>
      <c r="G1096" s="44"/>
      <c r="H1096" s="44"/>
      <c r="I1096" s="44"/>
      <c r="J1096" s="76"/>
    </row>
    <row r="1097" ht="20.25" customHeight="1">
      <c r="A1097" s="44"/>
      <c r="B1097" s="44"/>
      <c r="C1097" s="44"/>
      <c r="D1097" s="44"/>
      <c r="E1097" s="44"/>
      <c r="F1097" s="44"/>
      <c r="G1097" s="44"/>
      <c r="H1097" s="44"/>
      <c r="I1097" s="44"/>
      <c r="J1097" s="76"/>
    </row>
    <row r="1098" ht="20.25" customHeight="1">
      <c r="A1098" s="44"/>
      <c r="B1098" s="44"/>
      <c r="C1098" s="44"/>
      <c r="D1098" s="44"/>
      <c r="E1098" s="44"/>
      <c r="F1098" s="44"/>
      <c r="G1098" s="44"/>
      <c r="H1098" s="44"/>
      <c r="I1098" s="44"/>
      <c r="J1098" s="76"/>
    </row>
    <row r="1099" ht="20.25" customHeight="1">
      <c r="A1099" s="44"/>
      <c r="B1099" s="44"/>
      <c r="C1099" s="44"/>
      <c r="D1099" s="44"/>
      <c r="E1099" s="44"/>
      <c r="F1099" s="44"/>
      <c r="G1099" s="44"/>
      <c r="H1099" s="44"/>
      <c r="I1099" s="44"/>
      <c r="J1099" s="76"/>
    </row>
    <row r="1100" ht="20.25" customHeight="1">
      <c r="A1100" s="44"/>
      <c r="B1100" s="44"/>
      <c r="C1100" s="44"/>
      <c r="D1100" s="44"/>
      <c r="E1100" s="44"/>
      <c r="F1100" s="44"/>
      <c r="G1100" s="44"/>
      <c r="H1100" s="44"/>
      <c r="I1100" s="44"/>
      <c r="J1100" s="76"/>
    </row>
    <row r="1101" ht="20.25" customHeight="1">
      <c r="A1101" s="44"/>
      <c r="B1101" s="44"/>
      <c r="C1101" s="44"/>
      <c r="D1101" s="44"/>
      <c r="E1101" s="44"/>
      <c r="F1101" s="44"/>
      <c r="G1101" s="44"/>
      <c r="H1101" s="44"/>
      <c r="I1101" s="44"/>
      <c r="J1101" s="76"/>
    </row>
    <row r="1102" ht="20.25" customHeight="1">
      <c r="A1102" s="44"/>
      <c r="B1102" s="44"/>
      <c r="C1102" s="44"/>
      <c r="D1102" s="44"/>
      <c r="E1102" s="44"/>
      <c r="F1102" s="44"/>
      <c r="G1102" s="44"/>
      <c r="H1102" s="44"/>
      <c r="I1102" s="44"/>
      <c r="J1102" s="76"/>
    </row>
    <row r="1103" ht="20.25" customHeight="1">
      <c r="A1103" s="44"/>
      <c r="B1103" s="44"/>
      <c r="C1103" s="44"/>
      <c r="D1103" s="44"/>
      <c r="E1103" s="44"/>
      <c r="F1103" s="44"/>
      <c r="G1103" s="44"/>
      <c r="H1103" s="44"/>
      <c r="I1103" s="44"/>
      <c r="J1103" s="76"/>
    </row>
    <row r="1104" ht="20.25" customHeight="1">
      <c r="A1104" s="44"/>
      <c r="B1104" s="44"/>
      <c r="C1104" s="44"/>
      <c r="D1104" s="44"/>
      <c r="E1104" s="44"/>
      <c r="F1104" s="44"/>
      <c r="G1104" s="44"/>
      <c r="H1104" s="44"/>
      <c r="I1104" s="44"/>
      <c r="J1104" s="76"/>
    </row>
    <row r="1105" ht="20.25" customHeight="1">
      <c r="A1105" s="44"/>
      <c r="B1105" s="44"/>
      <c r="C1105" s="44"/>
      <c r="D1105" s="44"/>
      <c r="E1105" s="44"/>
      <c r="F1105" s="44"/>
      <c r="G1105" s="44"/>
      <c r="H1105" s="44"/>
      <c r="I1105" s="44"/>
      <c r="J1105" s="76"/>
    </row>
    <row r="1106" ht="20.25" customHeight="1">
      <c r="A1106" s="44"/>
      <c r="B1106" s="44"/>
      <c r="C1106" s="44"/>
      <c r="D1106" s="44"/>
      <c r="E1106" s="44"/>
      <c r="F1106" s="44"/>
      <c r="G1106" s="44"/>
      <c r="H1106" s="44"/>
      <c r="I1106" s="44"/>
      <c r="J1106" s="76"/>
    </row>
    <row r="1107" ht="20.25" customHeight="1">
      <c r="A1107" s="44"/>
      <c r="B1107" s="44"/>
      <c r="C1107" s="44"/>
      <c r="D1107" s="44"/>
      <c r="E1107" s="44"/>
      <c r="F1107" s="44"/>
      <c r="G1107" s="44"/>
      <c r="H1107" s="44"/>
      <c r="I1107" s="44"/>
      <c r="J1107" s="76"/>
    </row>
    <row r="1108" ht="20.25" customHeight="1">
      <c r="A1108" s="44"/>
      <c r="B1108" s="44"/>
      <c r="C1108" s="44"/>
      <c r="D1108" s="44"/>
      <c r="E1108" s="44"/>
      <c r="F1108" s="44"/>
      <c r="G1108" s="44"/>
      <c r="H1108" s="44"/>
      <c r="I1108" s="44"/>
      <c r="J1108" s="76"/>
    </row>
    <row r="1109" ht="20.25" customHeight="1">
      <c r="A1109" s="44"/>
      <c r="B1109" s="44"/>
      <c r="C1109" s="44"/>
      <c r="D1109" s="44"/>
      <c r="E1109" s="44"/>
      <c r="F1109" s="44"/>
      <c r="G1109" s="44"/>
      <c r="H1109" s="44"/>
      <c r="I1109" s="44"/>
      <c r="J1109" s="76"/>
    </row>
    <row r="1110" ht="20.25" customHeight="1">
      <c r="A1110" s="44"/>
      <c r="B1110" s="44"/>
      <c r="C1110" s="44"/>
      <c r="D1110" s="44"/>
      <c r="E1110" s="44"/>
      <c r="F1110" s="44"/>
      <c r="G1110" s="44"/>
      <c r="H1110" s="44"/>
      <c r="I1110" s="44"/>
      <c r="J1110" s="76"/>
    </row>
    <row r="1111" ht="20.25" customHeight="1">
      <c r="A1111" s="44"/>
      <c r="B1111" s="44"/>
      <c r="C1111" s="44"/>
      <c r="D1111" s="44"/>
      <c r="E1111" s="44"/>
      <c r="F1111" s="44"/>
      <c r="G1111" s="44"/>
      <c r="H1111" s="44"/>
      <c r="I1111" s="44"/>
      <c r="J1111" s="76"/>
    </row>
    <row r="1112" ht="20.25" customHeight="1">
      <c r="A1112" s="44"/>
      <c r="B1112" s="44"/>
      <c r="C1112" s="44"/>
      <c r="D1112" s="44"/>
      <c r="E1112" s="44"/>
      <c r="F1112" s="44"/>
      <c r="G1112" s="44"/>
      <c r="H1112" s="44"/>
      <c r="I1112" s="44"/>
      <c r="J1112" s="76"/>
    </row>
    <row r="1113" ht="20.25" customHeight="1">
      <c r="A1113" s="44"/>
      <c r="B1113" s="44"/>
      <c r="C1113" s="44"/>
      <c r="D1113" s="44"/>
      <c r="E1113" s="44"/>
      <c r="F1113" s="44"/>
      <c r="G1113" s="44"/>
      <c r="H1113" s="44"/>
      <c r="I1113" s="44"/>
      <c r="J1113" s="76"/>
    </row>
    <row r="1114" ht="20.25" customHeight="1">
      <c r="A1114" s="44"/>
      <c r="B1114" s="44"/>
      <c r="C1114" s="44"/>
      <c r="D1114" s="44"/>
      <c r="E1114" s="44"/>
      <c r="F1114" s="44"/>
      <c r="G1114" s="44"/>
      <c r="H1114" s="44"/>
      <c r="I1114" s="44"/>
      <c r="J1114" s="76"/>
    </row>
    <row r="1115" ht="20.25" customHeight="1">
      <c r="A1115" s="44"/>
      <c r="B1115" s="44"/>
      <c r="C1115" s="44"/>
      <c r="D1115" s="44"/>
      <c r="E1115" s="44"/>
      <c r="F1115" s="44"/>
      <c r="G1115" s="44"/>
      <c r="H1115" s="44"/>
      <c r="I1115" s="44"/>
      <c r="J1115" s="76"/>
    </row>
    <row r="1116" ht="20.25" customHeight="1">
      <c r="A1116" s="44"/>
      <c r="B1116" s="44"/>
      <c r="C1116" s="44"/>
      <c r="D1116" s="44"/>
      <c r="E1116" s="44"/>
      <c r="F1116" s="44"/>
      <c r="G1116" s="44"/>
      <c r="H1116" s="44"/>
      <c r="I1116" s="44"/>
      <c r="J1116" s="76"/>
    </row>
    <row r="1117" ht="20.25" customHeight="1">
      <c r="A1117" s="44"/>
      <c r="B1117" s="44"/>
      <c r="C1117" s="44"/>
      <c r="D1117" s="44"/>
      <c r="E1117" s="44"/>
      <c r="F1117" s="44"/>
      <c r="G1117" s="44"/>
      <c r="H1117" s="44"/>
      <c r="I1117" s="44"/>
      <c r="J1117" s="76"/>
    </row>
    <row r="1118" ht="20.25" customHeight="1">
      <c r="A1118" s="44"/>
      <c r="B1118" s="44"/>
      <c r="C1118" s="44"/>
      <c r="D1118" s="44"/>
      <c r="E1118" s="44"/>
      <c r="F1118" s="44"/>
      <c r="G1118" s="44"/>
      <c r="H1118" s="44"/>
      <c r="I1118" s="44"/>
      <c r="J1118" s="76"/>
    </row>
    <row r="1119" ht="20.25" customHeight="1">
      <c r="A1119" s="44"/>
      <c r="B1119" s="44"/>
      <c r="C1119" s="44"/>
      <c r="D1119" s="44"/>
      <c r="E1119" s="44"/>
      <c r="F1119" s="44"/>
      <c r="G1119" s="44"/>
      <c r="H1119" s="44"/>
      <c r="I1119" s="44"/>
      <c r="J1119" s="76"/>
    </row>
    <row r="1120" ht="20.25" customHeight="1">
      <c r="A1120" s="44"/>
      <c r="B1120" s="44"/>
      <c r="C1120" s="44"/>
      <c r="D1120" s="44"/>
      <c r="E1120" s="44"/>
      <c r="F1120" s="44"/>
      <c r="G1120" s="44"/>
      <c r="H1120" s="44"/>
      <c r="I1120" s="44"/>
      <c r="J1120" s="76"/>
    </row>
    <row r="1121" ht="20.25" customHeight="1">
      <c r="A1121" s="44"/>
      <c r="B1121" s="44"/>
      <c r="C1121" s="44"/>
      <c r="D1121" s="44"/>
      <c r="E1121" s="44"/>
      <c r="F1121" s="44"/>
      <c r="G1121" s="44"/>
      <c r="H1121" s="44"/>
      <c r="I1121" s="44"/>
      <c r="J1121" s="76"/>
    </row>
    <row r="1122" ht="20.25" customHeight="1">
      <c r="A1122" s="44"/>
      <c r="B1122" s="44"/>
      <c r="C1122" s="44"/>
      <c r="D1122" s="44"/>
      <c r="E1122" s="44"/>
      <c r="F1122" s="44"/>
      <c r="G1122" s="44"/>
      <c r="H1122" s="44"/>
      <c r="I1122" s="44"/>
      <c r="J1122" s="76"/>
    </row>
    <row r="1123" ht="20.25" customHeight="1">
      <c r="A1123" s="44"/>
      <c r="B1123" s="44"/>
      <c r="C1123" s="44"/>
      <c r="D1123" s="44"/>
      <c r="E1123" s="44"/>
      <c r="F1123" s="44"/>
      <c r="G1123" s="44"/>
      <c r="H1123" s="44"/>
      <c r="I1123" s="44"/>
      <c r="J1123" s="76"/>
    </row>
    <row r="1124" ht="20.25" customHeight="1">
      <c r="A1124" s="44"/>
      <c r="B1124" s="44"/>
      <c r="C1124" s="44"/>
      <c r="D1124" s="44"/>
      <c r="E1124" s="44"/>
      <c r="F1124" s="44"/>
      <c r="G1124" s="44"/>
      <c r="H1124" s="44"/>
      <c r="I1124" s="44"/>
      <c r="J1124" s="76"/>
    </row>
    <row r="1125" ht="20.25" customHeight="1">
      <c r="A1125" s="44"/>
      <c r="B1125" s="44"/>
      <c r="C1125" s="44"/>
      <c r="D1125" s="44"/>
      <c r="E1125" s="44"/>
      <c r="F1125" s="44"/>
      <c r="G1125" s="44"/>
      <c r="H1125" s="44"/>
      <c r="I1125" s="44"/>
      <c r="J1125" s="76"/>
    </row>
    <row r="1126" ht="20.25" customHeight="1">
      <c r="A1126" s="44"/>
      <c r="B1126" s="44"/>
      <c r="C1126" s="44"/>
      <c r="D1126" s="44"/>
      <c r="E1126" s="44"/>
      <c r="F1126" s="44"/>
      <c r="G1126" s="44"/>
      <c r="H1126" s="44"/>
      <c r="I1126" s="44"/>
      <c r="J1126" s="76"/>
    </row>
    <row r="1127" ht="20.25" customHeight="1">
      <c r="A1127" s="44"/>
      <c r="B1127" s="44"/>
      <c r="C1127" s="44"/>
      <c r="D1127" s="44"/>
      <c r="E1127" s="44"/>
      <c r="F1127" s="44"/>
      <c r="G1127" s="44"/>
      <c r="H1127" s="44"/>
      <c r="I1127" s="44"/>
      <c r="J1127" s="76"/>
    </row>
    <row r="1128" ht="20.25" customHeight="1">
      <c r="A1128" s="44"/>
      <c r="B1128" s="44"/>
      <c r="C1128" s="44"/>
      <c r="D1128" s="44"/>
      <c r="E1128" s="44"/>
      <c r="F1128" s="44"/>
      <c r="G1128" s="44"/>
      <c r="H1128" s="44"/>
      <c r="I1128" s="44"/>
      <c r="J1128" s="76"/>
    </row>
    <row r="1129" ht="20.25" customHeight="1">
      <c r="A1129" s="44"/>
      <c r="B1129" s="44"/>
      <c r="C1129" s="44"/>
      <c r="D1129" s="44"/>
      <c r="E1129" s="44"/>
      <c r="F1129" s="44"/>
      <c r="G1129" s="44"/>
      <c r="H1129" s="44"/>
      <c r="I1129" s="44"/>
      <c r="J1129" s="76"/>
    </row>
    <row r="1130" ht="20.25" customHeight="1">
      <c r="A1130" s="44"/>
      <c r="B1130" s="44"/>
      <c r="C1130" s="44"/>
      <c r="D1130" s="44"/>
      <c r="E1130" s="44"/>
      <c r="F1130" s="44"/>
      <c r="G1130" s="44"/>
      <c r="H1130" s="44"/>
      <c r="I1130" s="44"/>
      <c r="J1130" s="76"/>
    </row>
    <row r="1131" ht="20.25" customHeight="1">
      <c r="A1131" s="44"/>
      <c r="B1131" s="44"/>
      <c r="C1131" s="44"/>
      <c r="D1131" s="44"/>
      <c r="E1131" s="44"/>
      <c r="F1131" s="44"/>
      <c r="G1131" s="44"/>
      <c r="H1131" s="44"/>
      <c r="I1131" s="44"/>
      <c r="J1131" s="76"/>
    </row>
    <row r="1132" ht="20.25" customHeight="1">
      <c r="A1132" s="44"/>
      <c r="B1132" s="44"/>
      <c r="C1132" s="44"/>
      <c r="D1132" s="44"/>
      <c r="E1132" s="44"/>
      <c r="F1132" s="44"/>
      <c r="G1132" s="44"/>
      <c r="H1132" s="44"/>
      <c r="I1132" s="44"/>
      <c r="J1132" s="76"/>
    </row>
    <row r="1133" ht="20.25" customHeight="1">
      <c r="A1133" s="44"/>
      <c r="B1133" s="44"/>
      <c r="C1133" s="44"/>
      <c r="D1133" s="44"/>
      <c r="E1133" s="44"/>
      <c r="F1133" s="44"/>
      <c r="G1133" s="44"/>
      <c r="H1133" s="44"/>
      <c r="I1133" s="44"/>
      <c r="J1133" s="76"/>
    </row>
    <row r="1134" ht="20.25" customHeight="1">
      <c r="A1134" s="44"/>
      <c r="B1134" s="44"/>
      <c r="C1134" s="44"/>
      <c r="D1134" s="44"/>
      <c r="E1134" s="44"/>
      <c r="F1134" s="44"/>
      <c r="G1134" s="44"/>
      <c r="H1134" s="44"/>
      <c r="I1134" s="44"/>
      <c r="J1134" s="76"/>
    </row>
    <row r="1135" ht="20.25" customHeight="1">
      <c r="A1135" s="44"/>
      <c r="B1135" s="44"/>
      <c r="C1135" s="44"/>
      <c r="D1135" s="44"/>
      <c r="E1135" s="44"/>
      <c r="F1135" s="44"/>
      <c r="G1135" s="44"/>
      <c r="H1135" s="44"/>
      <c r="I1135" s="44"/>
      <c r="J1135" s="76"/>
    </row>
    <row r="1136" ht="20.25" customHeight="1">
      <c r="A1136" s="44"/>
      <c r="B1136" s="44"/>
      <c r="C1136" s="44"/>
      <c r="D1136" s="44"/>
      <c r="E1136" s="44"/>
      <c r="F1136" s="44"/>
      <c r="G1136" s="44"/>
      <c r="H1136" s="44"/>
      <c r="I1136" s="44"/>
      <c r="J1136" s="76"/>
    </row>
    <row r="1137" ht="20.25" customHeight="1">
      <c r="A1137" s="44"/>
      <c r="B1137" s="44"/>
      <c r="C1137" s="44"/>
      <c r="D1137" s="44"/>
      <c r="E1137" s="44"/>
      <c r="F1137" s="44"/>
      <c r="G1137" s="44"/>
      <c r="H1137" s="44"/>
      <c r="I1137" s="44"/>
      <c r="J1137" s="76"/>
    </row>
    <row r="1138" ht="20.25" customHeight="1">
      <c r="A1138" s="44"/>
      <c r="B1138" s="44"/>
      <c r="C1138" s="44"/>
      <c r="D1138" s="44"/>
      <c r="E1138" s="44"/>
      <c r="F1138" s="44"/>
      <c r="G1138" s="44"/>
      <c r="H1138" s="44"/>
      <c r="I1138" s="44"/>
      <c r="J1138" s="76"/>
    </row>
    <row r="1139" ht="20.25" customHeight="1">
      <c r="A1139" s="44"/>
      <c r="B1139" s="44"/>
      <c r="C1139" s="44"/>
      <c r="D1139" s="44"/>
      <c r="E1139" s="44"/>
      <c r="F1139" s="44"/>
      <c r="G1139" s="44"/>
      <c r="H1139" s="44"/>
      <c r="I1139" s="44"/>
      <c r="J1139" s="76"/>
    </row>
    <row r="1140" ht="20.25" customHeight="1">
      <c r="A1140" s="44"/>
      <c r="B1140" s="44"/>
      <c r="C1140" s="44"/>
      <c r="D1140" s="44"/>
      <c r="E1140" s="44"/>
      <c r="F1140" s="44"/>
      <c r="G1140" s="44"/>
      <c r="H1140" s="44"/>
      <c r="I1140" s="44"/>
      <c r="J1140" s="76"/>
    </row>
    <row r="1141" ht="20.25" customHeight="1">
      <c r="A1141" s="44"/>
      <c r="B1141" s="44"/>
      <c r="C1141" s="44"/>
      <c r="D1141" s="44"/>
      <c r="E1141" s="44"/>
      <c r="F1141" s="44"/>
      <c r="G1141" s="44"/>
      <c r="H1141" s="44"/>
      <c r="I1141" s="44"/>
      <c r="J1141" s="76"/>
    </row>
    <row r="1142" ht="20.25" customHeight="1">
      <c r="A1142" s="44"/>
      <c r="B1142" s="44"/>
      <c r="C1142" s="44"/>
      <c r="D1142" s="44"/>
      <c r="E1142" s="44"/>
      <c r="F1142" s="44"/>
      <c r="G1142" s="44"/>
      <c r="H1142" s="44"/>
      <c r="I1142" s="44"/>
      <c r="J1142" s="76"/>
    </row>
    <row r="1143" ht="20.25" customHeight="1">
      <c r="A1143" s="44"/>
      <c r="B1143" s="44"/>
      <c r="C1143" s="44"/>
      <c r="D1143" s="44"/>
      <c r="E1143" s="44"/>
      <c r="F1143" s="44"/>
      <c r="G1143" s="44"/>
      <c r="H1143" s="44"/>
      <c r="I1143" s="44"/>
      <c r="J1143" s="76"/>
    </row>
    <row r="1144" ht="20.25" customHeight="1">
      <c r="A1144" s="44"/>
      <c r="B1144" s="44"/>
      <c r="C1144" s="44"/>
      <c r="D1144" s="44"/>
      <c r="E1144" s="44"/>
      <c r="F1144" s="44"/>
      <c r="G1144" s="44"/>
      <c r="H1144" s="44"/>
      <c r="I1144" s="44"/>
      <c r="J1144" s="76"/>
    </row>
    <row r="1145" ht="20.25" customHeight="1">
      <c r="A1145" s="44"/>
      <c r="B1145" s="44"/>
      <c r="C1145" s="44"/>
      <c r="D1145" s="44"/>
      <c r="E1145" s="44"/>
      <c r="F1145" s="44"/>
      <c r="G1145" s="44"/>
      <c r="H1145" s="44"/>
      <c r="I1145" s="44"/>
      <c r="J1145" s="76"/>
    </row>
    <row r="1146" ht="20.25" customHeight="1">
      <c r="A1146" s="44"/>
      <c r="B1146" s="44"/>
      <c r="C1146" s="44"/>
      <c r="D1146" s="44"/>
      <c r="E1146" s="44"/>
      <c r="F1146" s="44"/>
      <c r="G1146" s="44"/>
      <c r="H1146" s="44"/>
      <c r="I1146" s="44"/>
      <c r="J1146" s="76"/>
    </row>
    <row r="1147" ht="20.25" customHeight="1">
      <c r="A1147" s="44"/>
      <c r="B1147" s="44"/>
      <c r="C1147" s="44"/>
      <c r="D1147" s="44"/>
      <c r="E1147" s="44"/>
      <c r="F1147" s="44"/>
      <c r="G1147" s="44"/>
      <c r="H1147" s="44"/>
      <c r="I1147" s="44"/>
      <c r="J1147" s="76"/>
    </row>
    <row r="1148" ht="20.25" customHeight="1">
      <c r="A1148" s="44"/>
      <c r="B1148" s="44"/>
      <c r="C1148" s="44"/>
      <c r="D1148" s="44"/>
      <c r="E1148" s="44"/>
      <c r="F1148" s="44"/>
      <c r="G1148" s="44"/>
      <c r="H1148" s="44"/>
      <c r="I1148" s="44"/>
      <c r="J1148" s="76"/>
    </row>
    <row r="1149" ht="20.25" customHeight="1">
      <c r="A1149" s="44"/>
      <c r="B1149" s="44"/>
      <c r="C1149" s="44"/>
      <c r="D1149" s="44"/>
      <c r="E1149" s="44"/>
      <c r="F1149" s="44"/>
      <c r="G1149" s="44"/>
      <c r="H1149" s="44"/>
      <c r="I1149" s="44"/>
      <c r="J1149" s="76"/>
    </row>
    <row r="1150" ht="20.25" customHeight="1">
      <c r="A1150" s="44"/>
      <c r="B1150" s="44"/>
      <c r="C1150" s="44"/>
      <c r="D1150" s="44"/>
      <c r="E1150" s="44"/>
      <c r="F1150" s="44"/>
      <c r="G1150" s="44"/>
      <c r="H1150" s="44"/>
      <c r="I1150" s="44"/>
      <c r="J1150" s="76"/>
    </row>
    <row r="1151" ht="20.25" customHeight="1">
      <c r="A1151" s="44"/>
      <c r="B1151" s="44"/>
      <c r="C1151" s="44"/>
      <c r="D1151" s="44"/>
      <c r="E1151" s="44"/>
      <c r="F1151" s="44"/>
      <c r="G1151" s="44"/>
      <c r="H1151" s="44"/>
      <c r="I1151" s="44"/>
      <c r="J1151" s="76"/>
    </row>
    <row r="1152" ht="20.25" customHeight="1">
      <c r="A1152" s="44"/>
      <c r="B1152" s="44"/>
      <c r="C1152" s="44"/>
      <c r="D1152" s="44"/>
      <c r="E1152" s="44"/>
      <c r="F1152" s="44"/>
      <c r="G1152" s="44"/>
      <c r="H1152" s="44"/>
      <c r="I1152" s="44"/>
      <c r="J1152" s="76"/>
    </row>
    <row r="1153" ht="20.25" customHeight="1">
      <c r="A1153" s="44"/>
      <c r="B1153" s="44"/>
      <c r="C1153" s="44"/>
      <c r="D1153" s="44"/>
      <c r="E1153" s="44"/>
      <c r="F1153" s="44"/>
      <c r="G1153" s="44"/>
      <c r="H1153" s="44"/>
      <c r="I1153" s="44"/>
      <c r="J1153" s="76"/>
    </row>
    <row r="1154" ht="20.25" customHeight="1">
      <c r="A1154" s="44"/>
      <c r="B1154" s="44"/>
      <c r="C1154" s="44"/>
      <c r="D1154" s="44"/>
      <c r="E1154" s="44"/>
      <c r="F1154" s="44"/>
      <c r="G1154" s="44"/>
      <c r="H1154" s="44"/>
      <c r="I1154" s="44"/>
      <c r="J1154" s="76"/>
    </row>
    <row r="1155" ht="20.25" customHeight="1">
      <c r="A1155" s="44"/>
      <c r="B1155" s="44"/>
      <c r="C1155" s="44"/>
      <c r="D1155" s="44"/>
      <c r="E1155" s="44"/>
      <c r="F1155" s="44"/>
      <c r="G1155" s="44"/>
      <c r="H1155" s="44"/>
      <c r="I1155" s="44"/>
      <c r="J1155" s="76"/>
    </row>
    <row r="1156" ht="20.25" customHeight="1">
      <c r="A1156" s="44"/>
      <c r="B1156" s="44"/>
      <c r="C1156" s="44"/>
      <c r="D1156" s="44"/>
      <c r="E1156" s="44"/>
      <c r="F1156" s="44"/>
      <c r="G1156" s="44"/>
      <c r="H1156" s="44"/>
      <c r="I1156" s="44"/>
      <c r="J1156" s="76"/>
    </row>
    <row r="1157" ht="20.25" customHeight="1">
      <c r="A1157" s="44"/>
      <c r="B1157" s="44"/>
      <c r="C1157" s="44"/>
      <c r="D1157" s="44"/>
      <c r="E1157" s="44"/>
      <c r="F1157" s="44"/>
      <c r="G1157" s="44"/>
      <c r="H1157" s="44"/>
      <c r="I1157" s="44"/>
      <c r="J1157" s="76"/>
    </row>
    <row r="1158" ht="20.25" customHeight="1">
      <c r="A1158" s="44"/>
      <c r="B1158" s="44"/>
      <c r="C1158" s="44"/>
      <c r="D1158" s="44"/>
      <c r="E1158" s="44"/>
      <c r="F1158" s="44"/>
      <c r="G1158" s="44"/>
      <c r="H1158" s="44"/>
      <c r="I1158" s="44"/>
      <c r="J1158" s="76"/>
    </row>
    <row r="1159" ht="20.25" customHeight="1">
      <c r="A1159" s="44"/>
      <c r="B1159" s="44"/>
      <c r="C1159" s="44"/>
      <c r="D1159" s="44"/>
      <c r="E1159" s="44"/>
      <c r="F1159" s="44"/>
      <c r="G1159" s="44"/>
      <c r="H1159" s="44"/>
      <c r="I1159" s="44"/>
      <c r="J1159" s="76"/>
    </row>
    <row r="1160" ht="20.25" customHeight="1">
      <c r="A1160" s="44"/>
      <c r="B1160" s="44"/>
      <c r="C1160" s="44"/>
      <c r="D1160" s="44"/>
      <c r="E1160" s="44"/>
      <c r="F1160" s="44"/>
      <c r="G1160" s="44"/>
      <c r="H1160" s="44"/>
      <c r="I1160" s="44"/>
      <c r="J1160" s="76"/>
    </row>
    <row r="1161" ht="20.25" customHeight="1">
      <c r="A1161" s="44"/>
      <c r="B1161" s="44"/>
      <c r="C1161" s="44"/>
      <c r="D1161" s="44"/>
      <c r="E1161" s="44"/>
      <c r="F1161" s="44"/>
      <c r="G1161" s="44"/>
      <c r="H1161" s="44"/>
      <c r="I1161" s="44"/>
      <c r="J1161" s="76"/>
    </row>
    <row r="1162" ht="20.25" customHeight="1">
      <c r="A1162" s="44"/>
      <c r="B1162" s="44"/>
      <c r="C1162" s="44"/>
      <c r="D1162" s="44"/>
      <c r="E1162" s="44"/>
      <c r="F1162" s="44"/>
      <c r="G1162" s="44"/>
      <c r="H1162" s="44"/>
      <c r="I1162" s="44"/>
      <c r="J1162" s="76"/>
    </row>
    <row r="1163" ht="20.25" customHeight="1">
      <c r="A1163" s="44"/>
      <c r="B1163" s="44"/>
      <c r="C1163" s="44"/>
      <c r="D1163" s="44"/>
      <c r="E1163" s="44"/>
      <c r="F1163" s="44"/>
      <c r="G1163" s="44"/>
      <c r="H1163" s="44"/>
      <c r="I1163" s="44"/>
      <c r="J1163" s="76"/>
    </row>
    <row r="1164" ht="20.25" customHeight="1">
      <c r="A1164" s="44"/>
      <c r="B1164" s="44"/>
      <c r="C1164" s="44"/>
      <c r="D1164" s="44"/>
      <c r="E1164" s="44"/>
      <c r="F1164" s="44"/>
      <c r="G1164" s="44"/>
      <c r="H1164" s="44"/>
      <c r="I1164" s="44"/>
      <c r="J1164" s="76"/>
    </row>
    <row r="1165" ht="20.25" customHeight="1">
      <c r="A1165" s="44"/>
      <c r="B1165" s="44"/>
      <c r="C1165" s="44"/>
      <c r="D1165" s="44"/>
      <c r="E1165" s="44"/>
      <c r="F1165" s="44"/>
      <c r="G1165" s="44"/>
      <c r="H1165" s="44"/>
      <c r="I1165" s="44"/>
      <c r="J1165" s="76"/>
    </row>
    <row r="1166" ht="20.25" customHeight="1">
      <c r="A1166" s="44"/>
      <c r="B1166" s="44"/>
      <c r="C1166" s="44"/>
      <c r="D1166" s="44"/>
      <c r="E1166" s="44"/>
      <c r="F1166" s="44"/>
      <c r="G1166" s="44"/>
      <c r="H1166" s="44"/>
      <c r="I1166" s="44"/>
      <c r="J1166" s="76"/>
    </row>
    <row r="1167" ht="20.25" customHeight="1">
      <c r="A1167" s="44"/>
      <c r="B1167" s="44"/>
      <c r="C1167" s="44"/>
      <c r="D1167" s="44"/>
      <c r="E1167" s="44"/>
      <c r="F1167" s="44"/>
      <c r="G1167" s="44"/>
      <c r="H1167" s="44"/>
      <c r="I1167" s="44"/>
      <c r="J1167" s="76"/>
    </row>
    <row r="1168" ht="20.25" customHeight="1">
      <c r="A1168" s="44"/>
      <c r="B1168" s="44"/>
      <c r="C1168" s="44"/>
      <c r="D1168" s="44"/>
      <c r="E1168" s="44"/>
      <c r="F1168" s="44"/>
      <c r="G1168" s="44"/>
      <c r="H1168" s="44"/>
      <c r="I1168" s="44"/>
      <c r="J1168" s="76"/>
    </row>
    <row r="1169" ht="20.25" customHeight="1">
      <c r="A1169" s="44"/>
      <c r="B1169" s="44"/>
      <c r="C1169" s="44"/>
      <c r="D1169" s="44"/>
      <c r="E1169" s="44"/>
      <c r="F1169" s="44"/>
      <c r="G1169" s="44"/>
      <c r="H1169" s="44"/>
      <c r="I1169" s="44"/>
      <c r="J1169" s="76"/>
    </row>
    <row r="1170" ht="20.25" customHeight="1">
      <c r="A1170" s="44"/>
      <c r="B1170" s="44"/>
      <c r="C1170" s="44"/>
      <c r="D1170" s="44"/>
      <c r="E1170" s="44"/>
      <c r="F1170" s="44"/>
      <c r="G1170" s="44"/>
      <c r="H1170" s="44"/>
      <c r="I1170" s="44"/>
      <c r="J1170" s="76"/>
    </row>
    <row r="1171" ht="20.25" customHeight="1">
      <c r="A1171" s="44"/>
      <c r="B1171" s="44"/>
      <c r="C1171" s="44"/>
      <c r="D1171" s="44"/>
      <c r="E1171" s="44"/>
      <c r="F1171" s="44"/>
      <c r="G1171" s="44"/>
      <c r="H1171" s="44"/>
      <c r="I1171" s="44"/>
      <c r="J1171" s="76"/>
    </row>
    <row r="1172" ht="20.25" customHeight="1">
      <c r="A1172" s="44"/>
      <c r="B1172" s="44"/>
      <c r="C1172" s="44"/>
      <c r="D1172" s="44"/>
      <c r="E1172" s="44"/>
      <c r="F1172" s="44"/>
      <c r="G1172" s="44"/>
      <c r="H1172" s="44"/>
      <c r="I1172" s="44"/>
      <c r="J1172" s="76"/>
    </row>
    <row r="1173" ht="20.25" customHeight="1">
      <c r="A1173" s="44"/>
      <c r="B1173" s="44"/>
      <c r="C1173" s="44"/>
      <c r="D1173" s="44"/>
      <c r="E1173" s="44"/>
      <c r="F1173" s="44"/>
      <c r="G1173" s="44"/>
      <c r="H1173" s="44"/>
      <c r="I1173" s="44"/>
      <c r="J1173" s="76"/>
    </row>
    <row r="1174" ht="20.25" customHeight="1">
      <c r="A1174" s="44"/>
      <c r="B1174" s="44"/>
      <c r="C1174" s="44"/>
      <c r="D1174" s="44"/>
      <c r="E1174" s="44"/>
      <c r="F1174" s="44"/>
      <c r="G1174" s="44"/>
      <c r="H1174" s="44"/>
      <c r="I1174" s="44"/>
      <c r="J1174" s="76"/>
    </row>
    <row r="1175" ht="20.25" customHeight="1">
      <c r="A1175" s="44"/>
      <c r="B1175" s="44"/>
      <c r="C1175" s="44"/>
      <c r="D1175" s="44"/>
      <c r="E1175" s="44"/>
      <c r="F1175" s="44"/>
      <c r="G1175" s="44"/>
      <c r="H1175" s="44"/>
      <c r="I1175" s="44"/>
      <c r="J1175" s="76"/>
    </row>
    <row r="1176" ht="20.25" customHeight="1">
      <c r="A1176" s="44"/>
      <c r="B1176" s="44"/>
      <c r="C1176" s="44"/>
      <c r="D1176" s="44"/>
      <c r="E1176" s="44"/>
      <c r="F1176" s="44"/>
      <c r="G1176" s="44"/>
      <c r="H1176" s="44"/>
      <c r="I1176" s="44"/>
      <c r="J1176" s="76"/>
    </row>
    <row r="1177" ht="20.25" customHeight="1">
      <c r="A1177" s="44"/>
      <c r="B1177" s="44"/>
      <c r="C1177" s="44"/>
      <c r="D1177" s="44"/>
      <c r="E1177" s="44"/>
      <c r="F1177" s="44"/>
      <c r="G1177" s="44"/>
      <c r="H1177" s="44"/>
      <c r="I1177" s="44"/>
      <c r="J1177" s="76"/>
    </row>
    <row r="1178" ht="20.25" customHeight="1">
      <c r="A1178" s="44"/>
      <c r="B1178" s="44"/>
      <c r="C1178" s="44"/>
      <c r="D1178" s="44"/>
      <c r="E1178" s="44"/>
      <c r="F1178" s="44"/>
      <c r="G1178" s="44"/>
      <c r="H1178" s="44"/>
      <c r="I1178" s="44"/>
      <c r="J1178" s="76"/>
    </row>
    <row r="1179" ht="20.25" customHeight="1">
      <c r="A1179" s="44"/>
      <c r="B1179" s="44"/>
      <c r="C1179" s="44"/>
      <c r="D1179" s="44"/>
      <c r="E1179" s="44"/>
      <c r="F1179" s="44"/>
      <c r="G1179" s="44"/>
      <c r="H1179" s="44"/>
      <c r="I1179" s="44"/>
      <c r="J1179" s="76"/>
    </row>
    <row r="1180" ht="20.25" customHeight="1">
      <c r="A1180" s="44"/>
      <c r="B1180" s="44"/>
      <c r="C1180" s="44"/>
      <c r="D1180" s="44"/>
      <c r="E1180" s="44"/>
      <c r="F1180" s="44"/>
      <c r="G1180" s="44"/>
      <c r="H1180" s="44"/>
      <c r="I1180" s="44"/>
      <c r="J1180" s="76"/>
    </row>
    <row r="1181" ht="20.25" customHeight="1">
      <c r="A1181" s="44"/>
      <c r="B1181" s="44"/>
      <c r="C1181" s="44"/>
      <c r="D1181" s="44"/>
      <c r="E1181" s="44"/>
      <c r="F1181" s="44"/>
      <c r="G1181" s="44"/>
      <c r="H1181" s="44"/>
      <c r="I1181" s="44"/>
      <c r="J1181" s="76"/>
    </row>
    <row r="1182" ht="20.25" customHeight="1">
      <c r="A1182" s="44"/>
      <c r="B1182" s="44"/>
      <c r="C1182" s="44"/>
      <c r="D1182" s="44"/>
      <c r="E1182" s="44"/>
      <c r="F1182" s="44"/>
      <c r="G1182" s="44"/>
      <c r="H1182" s="44"/>
      <c r="I1182" s="44"/>
      <c r="J1182" s="76"/>
    </row>
    <row r="1183" ht="20.25" customHeight="1">
      <c r="A1183" s="44"/>
      <c r="B1183" s="44"/>
      <c r="C1183" s="44"/>
      <c r="D1183" s="44"/>
      <c r="E1183" s="44"/>
      <c r="F1183" s="44"/>
      <c r="G1183" s="44"/>
      <c r="H1183" s="44"/>
      <c r="I1183" s="44"/>
      <c r="J1183" s="76"/>
    </row>
    <row r="1184" ht="20.25" customHeight="1">
      <c r="A1184" s="44"/>
      <c r="B1184" s="44"/>
      <c r="C1184" s="44"/>
      <c r="D1184" s="44"/>
      <c r="E1184" s="44"/>
      <c r="F1184" s="44"/>
      <c r="G1184" s="44"/>
      <c r="H1184" s="44"/>
      <c r="I1184" s="44"/>
      <c r="J1184" s="76"/>
    </row>
    <row r="1185" ht="20.25" customHeight="1">
      <c r="A1185" s="44"/>
      <c r="B1185" s="44"/>
      <c r="C1185" s="44"/>
      <c r="D1185" s="44"/>
      <c r="E1185" s="44"/>
      <c r="F1185" s="44"/>
      <c r="G1185" s="44"/>
      <c r="H1185" s="44"/>
      <c r="I1185" s="44"/>
      <c r="J1185" s="76"/>
    </row>
    <row r="1186" ht="20.25" customHeight="1">
      <c r="A1186" s="44"/>
      <c r="B1186" s="44"/>
      <c r="C1186" s="44"/>
      <c r="D1186" s="44"/>
      <c r="E1186" s="44"/>
      <c r="F1186" s="44"/>
      <c r="G1186" s="44"/>
      <c r="H1186" s="44"/>
      <c r="I1186" s="44"/>
      <c r="J1186" s="76"/>
    </row>
    <row r="1187" ht="20.25" customHeight="1">
      <c r="A1187" s="44"/>
      <c r="B1187" s="44"/>
      <c r="C1187" s="44"/>
      <c r="D1187" s="44"/>
      <c r="E1187" s="44"/>
      <c r="F1187" s="44"/>
      <c r="G1187" s="44"/>
      <c r="H1187" s="44"/>
      <c r="I1187" s="44"/>
      <c r="J1187" s="76"/>
    </row>
    <row r="1188" ht="20.25" customHeight="1">
      <c r="A1188" s="44"/>
      <c r="B1188" s="44"/>
      <c r="C1188" s="44"/>
      <c r="D1188" s="44"/>
      <c r="E1188" s="44"/>
      <c r="F1188" s="44"/>
      <c r="G1188" s="44"/>
      <c r="H1188" s="44"/>
      <c r="I1188" s="44"/>
      <c r="J1188" s="76"/>
    </row>
    <row r="1189" ht="20.25" customHeight="1">
      <c r="A1189" s="44"/>
      <c r="B1189" s="44"/>
      <c r="C1189" s="44"/>
      <c r="D1189" s="44"/>
      <c r="E1189" s="44"/>
      <c r="F1189" s="44"/>
      <c r="G1189" s="44"/>
      <c r="H1189" s="44"/>
      <c r="I1189" s="44"/>
      <c r="J1189" s="76"/>
    </row>
    <row r="1190" ht="20.25" customHeight="1">
      <c r="A1190" s="44"/>
      <c r="B1190" s="44"/>
      <c r="C1190" s="44"/>
      <c r="D1190" s="44"/>
      <c r="E1190" s="44"/>
      <c r="F1190" s="44"/>
      <c r="G1190" s="44"/>
      <c r="H1190" s="44"/>
      <c r="I1190" s="44"/>
      <c r="J1190" s="76"/>
    </row>
    <row r="1191" ht="20.25" customHeight="1">
      <c r="A1191" s="44"/>
      <c r="B1191" s="44"/>
      <c r="C1191" s="44"/>
      <c r="D1191" s="44"/>
      <c r="E1191" s="44"/>
      <c r="F1191" s="44"/>
      <c r="G1191" s="44"/>
      <c r="H1191" s="44"/>
      <c r="I1191" s="44"/>
      <c r="J1191" s="76"/>
    </row>
    <row r="1192" ht="20.25" customHeight="1">
      <c r="A1192" s="44"/>
      <c r="B1192" s="44"/>
      <c r="C1192" s="44"/>
      <c r="D1192" s="44"/>
      <c r="E1192" s="44"/>
      <c r="F1192" s="44"/>
      <c r="G1192" s="44"/>
      <c r="H1192" s="44"/>
      <c r="I1192" s="44"/>
      <c r="J1192" s="76"/>
    </row>
    <row r="1193" ht="20.25" customHeight="1">
      <c r="A1193" s="44"/>
      <c r="B1193" s="44"/>
      <c r="C1193" s="44"/>
      <c r="D1193" s="44"/>
      <c r="E1193" s="44"/>
      <c r="F1193" s="44"/>
      <c r="G1193" s="44"/>
      <c r="H1193" s="44"/>
      <c r="I1193" s="44"/>
      <c r="J1193" s="76"/>
    </row>
    <row r="1194" ht="20.25" customHeight="1">
      <c r="A1194" s="44"/>
      <c r="B1194" s="44"/>
      <c r="C1194" s="44"/>
      <c r="D1194" s="44"/>
      <c r="E1194" s="44"/>
      <c r="F1194" s="44"/>
      <c r="G1194" s="44"/>
      <c r="H1194" s="44"/>
      <c r="I1194" s="44"/>
      <c r="J1194" s="76"/>
    </row>
    <row r="1195" ht="20.25" customHeight="1">
      <c r="A1195" s="44"/>
      <c r="B1195" s="44"/>
      <c r="C1195" s="44"/>
      <c r="D1195" s="44"/>
      <c r="E1195" s="44"/>
      <c r="F1195" s="44"/>
      <c r="G1195" s="44"/>
      <c r="H1195" s="44"/>
      <c r="I1195" s="44"/>
      <c r="J1195" s="76"/>
    </row>
    <row r="1196" ht="20.25" customHeight="1">
      <c r="A1196" s="44"/>
      <c r="B1196" s="44"/>
      <c r="C1196" s="44"/>
      <c r="D1196" s="44"/>
      <c r="E1196" s="44"/>
      <c r="F1196" s="44"/>
      <c r="G1196" s="44"/>
      <c r="H1196" s="44"/>
      <c r="I1196" s="44"/>
      <c r="J1196" s="76"/>
    </row>
    <row r="1197" ht="20.25" customHeight="1">
      <c r="A1197" s="44"/>
      <c r="B1197" s="44"/>
      <c r="C1197" s="44"/>
      <c r="D1197" s="44"/>
      <c r="E1197" s="44"/>
      <c r="F1197" s="44"/>
      <c r="G1197" s="44"/>
      <c r="H1197" s="44"/>
      <c r="I1197" s="44"/>
      <c r="J1197" s="76"/>
    </row>
    <row r="1198" ht="20.25" customHeight="1">
      <c r="A1198" s="44"/>
      <c r="B1198" s="44"/>
      <c r="C1198" s="44"/>
      <c r="D1198" s="44"/>
      <c r="E1198" s="44"/>
      <c r="F1198" s="44"/>
      <c r="G1198" s="44"/>
      <c r="H1198" s="44"/>
      <c r="I1198" s="44"/>
      <c r="J1198" s="76"/>
    </row>
    <row r="1199" ht="20.25" customHeight="1">
      <c r="A1199" s="44"/>
      <c r="B1199" s="44"/>
      <c r="C1199" s="44"/>
      <c r="D1199" s="44"/>
      <c r="E1199" s="44"/>
      <c r="F1199" s="44"/>
      <c r="G1199" s="44"/>
      <c r="H1199" s="44"/>
      <c r="I1199" s="44"/>
      <c r="J1199" s="76"/>
    </row>
    <row r="1200" ht="20.25" customHeight="1">
      <c r="A1200" s="44"/>
      <c r="B1200" s="44"/>
      <c r="C1200" s="44"/>
      <c r="D1200" s="44"/>
      <c r="E1200" s="44"/>
      <c r="F1200" s="44"/>
      <c r="G1200" s="44"/>
      <c r="H1200" s="44"/>
      <c r="I1200" s="44"/>
      <c r="J1200" s="76"/>
    </row>
    <row r="1201" ht="20.25" customHeight="1">
      <c r="A1201" s="44"/>
      <c r="B1201" s="44"/>
      <c r="C1201" s="44"/>
      <c r="D1201" s="44"/>
      <c r="E1201" s="44"/>
      <c r="F1201" s="44"/>
      <c r="G1201" s="44"/>
      <c r="H1201" s="44"/>
      <c r="I1201" s="44"/>
      <c r="J1201" s="76"/>
    </row>
    <row r="1202" ht="20.25" customHeight="1">
      <c r="A1202" s="44"/>
      <c r="B1202" s="44"/>
      <c r="C1202" s="44"/>
      <c r="D1202" s="44"/>
      <c r="E1202" s="44"/>
      <c r="F1202" s="44"/>
      <c r="G1202" s="44"/>
      <c r="H1202" s="44"/>
      <c r="I1202" s="44"/>
      <c r="J1202" s="76"/>
    </row>
    <row r="1203" ht="20.25" customHeight="1">
      <c r="A1203" s="44"/>
      <c r="B1203" s="44"/>
      <c r="C1203" s="44"/>
      <c r="D1203" s="44"/>
      <c r="E1203" s="44"/>
      <c r="F1203" s="44"/>
      <c r="G1203" s="44"/>
      <c r="H1203" s="44"/>
      <c r="I1203" s="44"/>
      <c r="J1203" s="76"/>
    </row>
    <row r="1204" ht="20.25" customHeight="1">
      <c r="A1204" s="44"/>
      <c r="B1204" s="44"/>
      <c r="C1204" s="44"/>
      <c r="D1204" s="44"/>
      <c r="E1204" s="44"/>
      <c r="F1204" s="44"/>
      <c r="G1204" s="44"/>
      <c r="H1204" s="44"/>
      <c r="I1204" s="44"/>
      <c r="J1204" s="76"/>
    </row>
    <row r="1205" ht="20.25" customHeight="1">
      <c r="A1205" s="44"/>
      <c r="B1205" s="44"/>
      <c r="C1205" s="44"/>
      <c r="D1205" s="44"/>
      <c r="E1205" s="44"/>
      <c r="F1205" s="44"/>
      <c r="G1205" s="44"/>
      <c r="H1205" s="44"/>
      <c r="I1205" s="44"/>
      <c r="J1205" s="76"/>
    </row>
    <row r="1206" ht="20.25" customHeight="1">
      <c r="A1206" s="44"/>
      <c r="B1206" s="44"/>
      <c r="C1206" s="44"/>
      <c r="D1206" s="44"/>
      <c r="E1206" s="44"/>
      <c r="F1206" s="44"/>
      <c r="G1206" s="44"/>
      <c r="H1206" s="44"/>
      <c r="I1206" s="44"/>
      <c r="J1206" s="76"/>
    </row>
    <row r="1207" ht="20.25" customHeight="1">
      <c r="A1207" s="44"/>
      <c r="B1207" s="44"/>
      <c r="C1207" s="44"/>
      <c r="D1207" s="44"/>
      <c r="E1207" s="44"/>
      <c r="F1207" s="44"/>
      <c r="G1207" s="44"/>
      <c r="H1207" s="44"/>
      <c r="I1207" s="44"/>
      <c r="J1207" s="76"/>
    </row>
    <row r="1208" ht="20.25" customHeight="1">
      <c r="A1208" s="44"/>
      <c r="B1208" s="44"/>
      <c r="C1208" s="44"/>
      <c r="D1208" s="44"/>
      <c r="E1208" s="44"/>
      <c r="F1208" s="44"/>
      <c r="G1208" s="44"/>
      <c r="H1208" s="44"/>
      <c r="I1208" s="44"/>
      <c r="J1208" s="76"/>
    </row>
    <row r="1209" ht="20.25" customHeight="1">
      <c r="A1209" s="44"/>
      <c r="B1209" s="44"/>
      <c r="C1209" s="44"/>
      <c r="D1209" s="44"/>
      <c r="E1209" s="44"/>
      <c r="F1209" s="44"/>
      <c r="G1209" s="44"/>
      <c r="H1209" s="44"/>
      <c r="I1209" s="44"/>
      <c r="J1209" s="76"/>
    </row>
    <row r="1210" ht="20.25" customHeight="1">
      <c r="A1210" s="44"/>
      <c r="B1210" s="44"/>
      <c r="C1210" s="44"/>
      <c r="D1210" s="44"/>
      <c r="E1210" s="44"/>
      <c r="F1210" s="44"/>
      <c r="G1210" s="44"/>
      <c r="H1210" s="44"/>
      <c r="I1210" s="44"/>
      <c r="J1210" s="76"/>
    </row>
    <row r="1211" ht="20.25" customHeight="1">
      <c r="A1211" s="44"/>
      <c r="B1211" s="44"/>
      <c r="C1211" s="44"/>
      <c r="D1211" s="44"/>
      <c r="E1211" s="44"/>
      <c r="F1211" s="44"/>
      <c r="G1211" s="44"/>
      <c r="H1211" s="44"/>
      <c r="I1211" s="44"/>
      <c r="J1211" s="76"/>
    </row>
    <row r="1212" ht="20.25" customHeight="1">
      <c r="A1212" s="44"/>
      <c r="B1212" s="44"/>
      <c r="C1212" s="44"/>
      <c r="D1212" s="44"/>
      <c r="E1212" s="44"/>
      <c r="F1212" s="44"/>
      <c r="G1212" s="44"/>
      <c r="H1212" s="44"/>
      <c r="I1212" s="44"/>
      <c r="J1212" s="76"/>
    </row>
    <row r="1213" ht="20.25" customHeight="1">
      <c r="A1213" s="44"/>
      <c r="B1213" s="44"/>
      <c r="C1213" s="44"/>
      <c r="D1213" s="44"/>
      <c r="E1213" s="44"/>
      <c r="F1213" s="44"/>
      <c r="G1213" s="44"/>
      <c r="H1213" s="44"/>
      <c r="I1213" s="44"/>
      <c r="J1213" s="76"/>
    </row>
    <row r="1214" ht="20.25" customHeight="1">
      <c r="A1214" s="44"/>
      <c r="B1214" s="44"/>
      <c r="C1214" s="44"/>
      <c r="D1214" s="44"/>
      <c r="E1214" s="44"/>
      <c r="F1214" s="44"/>
      <c r="G1214" s="44"/>
      <c r="H1214" s="44"/>
      <c r="I1214" s="44"/>
      <c r="J1214" s="76"/>
    </row>
    <row r="1215" ht="20.25" customHeight="1">
      <c r="A1215" s="44"/>
      <c r="B1215" s="44"/>
      <c r="C1215" s="44"/>
      <c r="D1215" s="44"/>
      <c r="E1215" s="44"/>
      <c r="F1215" s="44"/>
      <c r="G1215" s="44"/>
      <c r="H1215" s="44"/>
      <c r="I1215" s="44"/>
      <c r="J1215" s="76"/>
    </row>
    <row r="1216" ht="20.25" customHeight="1">
      <c r="A1216" s="44"/>
      <c r="B1216" s="44"/>
      <c r="C1216" s="44"/>
      <c r="D1216" s="44"/>
      <c r="E1216" s="44"/>
      <c r="F1216" s="44"/>
      <c r="G1216" s="44"/>
      <c r="H1216" s="44"/>
      <c r="I1216" s="44"/>
      <c r="J1216" s="76"/>
    </row>
    <row r="1217" ht="20.25" customHeight="1">
      <c r="A1217" s="44"/>
      <c r="B1217" s="44"/>
      <c r="C1217" s="44"/>
      <c r="D1217" s="44"/>
      <c r="E1217" s="44"/>
      <c r="F1217" s="44"/>
      <c r="G1217" s="44"/>
      <c r="H1217" s="44"/>
      <c r="I1217" s="44"/>
      <c r="J1217" s="76"/>
    </row>
    <row r="1218" ht="20.25" customHeight="1">
      <c r="A1218" s="44"/>
      <c r="B1218" s="44"/>
      <c r="C1218" s="44"/>
      <c r="D1218" s="44"/>
      <c r="E1218" s="44"/>
      <c r="F1218" s="44"/>
      <c r="G1218" s="44"/>
      <c r="H1218" s="44"/>
      <c r="I1218" s="44"/>
      <c r="J1218" s="76"/>
    </row>
    <row r="1219" ht="20.25" customHeight="1">
      <c r="A1219" s="44"/>
      <c r="B1219" s="44"/>
      <c r="C1219" s="44"/>
      <c r="D1219" s="44"/>
      <c r="E1219" s="44"/>
      <c r="F1219" s="44"/>
      <c r="G1219" s="44"/>
      <c r="H1219" s="44"/>
      <c r="I1219" s="44"/>
      <c r="J1219" s="76"/>
    </row>
    <row r="1220" ht="20.25" customHeight="1">
      <c r="A1220" s="44"/>
      <c r="B1220" s="44"/>
      <c r="C1220" s="44"/>
      <c r="D1220" s="44"/>
      <c r="E1220" s="44"/>
      <c r="F1220" s="44"/>
      <c r="G1220" s="44"/>
      <c r="H1220" s="44"/>
      <c r="I1220" s="44"/>
      <c r="J1220" s="76"/>
    </row>
    <row r="1221" ht="20.25" customHeight="1">
      <c r="A1221" s="44"/>
      <c r="B1221" s="44"/>
      <c r="C1221" s="44"/>
      <c r="D1221" s="44"/>
      <c r="E1221" s="44"/>
      <c r="F1221" s="44"/>
      <c r="G1221" s="44"/>
      <c r="H1221" s="44"/>
      <c r="I1221" s="44"/>
      <c r="J1221" s="76"/>
    </row>
    <row r="1222" ht="20.25" customHeight="1">
      <c r="A1222" s="44"/>
      <c r="B1222" s="44"/>
      <c r="C1222" s="44"/>
      <c r="D1222" s="44"/>
      <c r="E1222" s="44"/>
      <c r="F1222" s="44"/>
      <c r="G1222" s="44"/>
      <c r="H1222" s="44"/>
      <c r="I1222" s="44"/>
      <c r="J1222" s="76"/>
    </row>
    <row r="1223" ht="20.25" customHeight="1">
      <c r="A1223" s="44"/>
      <c r="B1223" s="44"/>
      <c r="C1223" s="44"/>
      <c r="D1223" s="44"/>
      <c r="E1223" s="44"/>
      <c r="F1223" s="44"/>
      <c r="G1223" s="44"/>
      <c r="H1223" s="44"/>
      <c r="I1223" s="44"/>
      <c r="J1223" s="76"/>
    </row>
    <row r="1224" ht="20.25" customHeight="1">
      <c r="A1224" s="44"/>
      <c r="B1224" s="44"/>
      <c r="C1224" s="44"/>
      <c r="D1224" s="44"/>
      <c r="E1224" s="44"/>
      <c r="F1224" s="44"/>
      <c r="G1224" s="44"/>
      <c r="H1224" s="44"/>
      <c r="I1224" s="44"/>
      <c r="J1224" s="76"/>
    </row>
    <row r="1225" ht="20.25" customHeight="1">
      <c r="A1225" s="44"/>
      <c r="B1225" s="44"/>
      <c r="C1225" s="44"/>
      <c r="D1225" s="44"/>
      <c r="E1225" s="44"/>
      <c r="F1225" s="44"/>
      <c r="G1225" s="44"/>
      <c r="H1225" s="44"/>
      <c r="I1225" s="44"/>
      <c r="J1225" s="76"/>
    </row>
    <row r="1226" ht="20.25" customHeight="1">
      <c r="A1226" s="44"/>
      <c r="B1226" s="44"/>
      <c r="C1226" s="44"/>
      <c r="D1226" s="44"/>
      <c r="E1226" s="44"/>
      <c r="F1226" s="44"/>
      <c r="G1226" s="44"/>
      <c r="H1226" s="44"/>
      <c r="I1226" s="44"/>
      <c r="J1226" s="76"/>
    </row>
    <row r="1227" ht="20.25" customHeight="1">
      <c r="A1227" s="44"/>
      <c r="B1227" s="44"/>
      <c r="C1227" s="44"/>
      <c r="D1227" s="44"/>
      <c r="E1227" s="44"/>
      <c r="F1227" s="44"/>
      <c r="G1227" s="44"/>
      <c r="H1227" s="44"/>
      <c r="I1227" s="44"/>
      <c r="J1227" s="76"/>
    </row>
    <row r="1228" ht="20.25" customHeight="1">
      <c r="A1228" s="44"/>
      <c r="B1228" s="44"/>
      <c r="C1228" s="44"/>
      <c r="D1228" s="44"/>
      <c r="E1228" s="44"/>
      <c r="F1228" s="44"/>
      <c r="G1228" s="44"/>
      <c r="H1228" s="44"/>
      <c r="I1228" s="44"/>
      <c r="J1228" s="76"/>
    </row>
    <row r="1229" ht="20.25" customHeight="1">
      <c r="A1229" s="44"/>
      <c r="B1229" s="44"/>
      <c r="C1229" s="44"/>
      <c r="D1229" s="44"/>
      <c r="E1229" s="44"/>
      <c r="F1229" s="44"/>
      <c r="G1229" s="44"/>
      <c r="H1229" s="44"/>
      <c r="I1229" s="44"/>
      <c r="J1229" s="76"/>
    </row>
    <row r="1230" ht="20.25" customHeight="1">
      <c r="A1230" s="44"/>
      <c r="B1230" s="44"/>
      <c r="C1230" s="44"/>
      <c r="D1230" s="44"/>
      <c r="E1230" s="44"/>
      <c r="F1230" s="44"/>
      <c r="G1230" s="44"/>
      <c r="H1230" s="44"/>
      <c r="I1230" s="44"/>
      <c r="J1230" s="76"/>
    </row>
    <row r="1231" ht="20.25" customHeight="1">
      <c r="A1231" s="44"/>
      <c r="B1231" s="44"/>
      <c r="C1231" s="44"/>
      <c r="D1231" s="44"/>
      <c r="E1231" s="44"/>
      <c r="F1231" s="44"/>
      <c r="G1231" s="44"/>
      <c r="H1231" s="44"/>
      <c r="I1231" s="44"/>
      <c r="J1231" s="76"/>
    </row>
    <row r="1232" ht="20.25" customHeight="1">
      <c r="A1232" s="44"/>
      <c r="B1232" s="44"/>
      <c r="C1232" s="44"/>
      <c r="D1232" s="44"/>
      <c r="E1232" s="44"/>
      <c r="F1232" s="44"/>
      <c r="G1232" s="44"/>
      <c r="H1232" s="44"/>
      <c r="I1232" s="44"/>
      <c r="J1232" s="76"/>
    </row>
    <row r="1233" ht="20.25" customHeight="1">
      <c r="A1233" s="44"/>
      <c r="B1233" s="44"/>
      <c r="C1233" s="44"/>
      <c r="D1233" s="44"/>
      <c r="E1233" s="44"/>
      <c r="F1233" s="44"/>
      <c r="G1233" s="44"/>
      <c r="H1233" s="44"/>
      <c r="I1233" s="44"/>
      <c r="J1233" s="76"/>
    </row>
    <row r="1234" ht="20.25" customHeight="1">
      <c r="A1234" s="44"/>
      <c r="B1234" s="44"/>
      <c r="C1234" s="44"/>
      <c r="D1234" s="44"/>
      <c r="E1234" s="44"/>
      <c r="F1234" s="44"/>
      <c r="G1234" s="44"/>
      <c r="H1234" s="44"/>
      <c r="I1234" s="44"/>
      <c r="J1234" s="76"/>
    </row>
    <row r="1235" ht="20.25" customHeight="1">
      <c r="A1235" s="44"/>
      <c r="B1235" s="44"/>
      <c r="C1235" s="44"/>
      <c r="D1235" s="44"/>
      <c r="E1235" s="44"/>
      <c r="F1235" s="44"/>
      <c r="G1235" s="44"/>
      <c r="H1235" s="44"/>
      <c r="I1235" s="44"/>
      <c r="J1235" s="76"/>
    </row>
    <row r="1236" ht="20.25" customHeight="1">
      <c r="A1236" s="44"/>
      <c r="B1236" s="44"/>
      <c r="C1236" s="44"/>
      <c r="D1236" s="44"/>
      <c r="E1236" s="44"/>
      <c r="F1236" s="44"/>
      <c r="G1236" s="44"/>
      <c r="H1236" s="44"/>
      <c r="I1236" s="44"/>
      <c r="J1236" s="76"/>
    </row>
    <row r="1237" ht="20.25" customHeight="1">
      <c r="A1237" s="44"/>
      <c r="B1237" s="44"/>
      <c r="C1237" s="44"/>
      <c r="D1237" s="44"/>
      <c r="E1237" s="44"/>
      <c r="F1237" s="44"/>
      <c r="G1237" s="44"/>
      <c r="H1237" s="44"/>
      <c r="I1237" s="44"/>
      <c r="J1237" s="76"/>
    </row>
    <row r="1238" ht="20.25" customHeight="1">
      <c r="A1238" s="44"/>
      <c r="B1238" s="44"/>
      <c r="C1238" s="44"/>
      <c r="D1238" s="44"/>
      <c r="E1238" s="44"/>
      <c r="F1238" s="44"/>
      <c r="G1238" s="44"/>
      <c r="H1238" s="44"/>
      <c r="I1238" s="44"/>
      <c r="J1238" s="76"/>
    </row>
    <row r="1239" ht="20.25" customHeight="1">
      <c r="A1239" s="44"/>
      <c r="B1239" s="44"/>
      <c r="C1239" s="44"/>
      <c r="D1239" s="44"/>
      <c r="E1239" s="44"/>
      <c r="F1239" s="44"/>
      <c r="G1239" s="44"/>
      <c r="H1239" s="44"/>
      <c r="I1239" s="44"/>
      <c r="J1239" s="76"/>
    </row>
    <row r="1240" ht="20.25" customHeight="1">
      <c r="A1240" s="44"/>
      <c r="B1240" s="44"/>
      <c r="C1240" s="44"/>
      <c r="D1240" s="44"/>
      <c r="E1240" s="44"/>
      <c r="F1240" s="44"/>
      <c r="G1240" s="44"/>
      <c r="H1240" s="44"/>
      <c r="I1240" s="44"/>
      <c r="J1240" s="76"/>
    </row>
    <row r="1241" ht="20.25" customHeight="1">
      <c r="A1241" s="44"/>
      <c r="B1241" s="44"/>
      <c r="C1241" s="44"/>
      <c r="D1241" s="44"/>
      <c r="E1241" s="44"/>
      <c r="F1241" s="44"/>
      <c r="G1241" s="44"/>
      <c r="H1241" s="44"/>
      <c r="I1241" s="44"/>
      <c r="J1241" s="76"/>
    </row>
    <row r="1242" ht="20.25" customHeight="1">
      <c r="A1242" s="44"/>
      <c r="B1242" s="44"/>
      <c r="C1242" s="44"/>
      <c r="D1242" s="44"/>
      <c r="E1242" s="44"/>
      <c r="F1242" s="44"/>
      <c r="G1242" s="44"/>
      <c r="H1242" s="44"/>
      <c r="I1242" s="44"/>
      <c r="J1242" s="76"/>
    </row>
    <row r="1243" ht="20.25" customHeight="1">
      <c r="A1243" s="44"/>
      <c r="B1243" s="44"/>
      <c r="C1243" s="44"/>
      <c r="D1243" s="44"/>
      <c r="E1243" s="44"/>
      <c r="F1243" s="44"/>
      <c r="G1243" s="44"/>
      <c r="H1243" s="44"/>
      <c r="I1243" s="44"/>
      <c r="J1243" s="76"/>
    </row>
    <row r="1244" ht="20.25" customHeight="1">
      <c r="A1244" s="44"/>
      <c r="B1244" s="44"/>
      <c r="C1244" s="44"/>
      <c r="D1244" s="44"/>
      <c r="E1244" s="44"/>
      <c r="F1244" s="44"/>
      <c r="G1244" s="44"/>
      <c r="H1244" s="44"/>
      <c r="I1244" s="44"/>
      <c r="J1244" s="76"/>
    </row>
    <row r="1245" ht="20.25" customHeight="1">
      <c r="A1245" s="44"/>
      <c r="B1245" s="44"/>
      <c r="C1245" s="44"/>
      <c r="D1245" s="44"/>
      <c r="E1245" s="44"/>
      <c r="F1245" s="44"/>
      <c r="G1245" s="44"/>
      <c r="H1245" s="44"/>
      <c r="I1245" s="44"/>
      <c r="J1245" s="76"/>
    </row>
    <row r="1246" ht="20.25" customHeight="1">
      <c r="A1246" s="44"/>
      <c r="B1246" s="44"/>
      <c r="C1246" s="44"/>
      <c r="D1246" s="44"/>
      <c r="E1246" s="44"/>
      <c r="F1246" s="44"/>
      <c r="G1246" s="44"/>
      <c r="H1246" s="44"/>
      <c r="I1246" s="44"/>
      <c r="J1246" s="76"/>
    </row>
    <row r="1247" ht="20.25" customHeight="1">
      <c r="A1247" s="44"/>
      <c r="B1247" s="44"/>
      <c r="C1247" s="44"/>
      <c r="D1247" s="44"/>
      <c r="E1247" s="44"/>
      <c r="F1247" s="44"/>
      <c r="G1247" s="44"/>
      <c r="H1247" s="44"/>
      <c r="I1247" s="44"/>
      <c r="J1247" s="76"/>
    </row>
    <row r="1248" ht="20.25" customHeight="1">
      <c r="A1248" s="44"/>
      <c r="B1248" s="44"/>
      <c r="C1248" s="44"/>
      <c r="D1248" s="44"/>
      <c r="E1248" s="44"/>
      <c r="F1248" s="44"/>
      <c r="G1248" s="44"/>
      <c r="H1248" s="44"/>
      <c r="I1248" s="44"/>
      <c r="J1248" s="76"/>
    </row>
    <row r="1249" ht="20.25" customHeight="1">
      <c r="A1249" s="44"/>
      <c r="B1249" s="44"/>
      <c r="C1249" s="44"/>
      <c r="D1249" s="44"/>
      <c r="E1249" s="44"/>
      <c r="F1249" s="44"/>
      <c r="G1249" s="44"/>
      <c r="H1249" s="44"/>
      <c r="I1249" s="44"/>
      <c r="J1249" s="76"/>
    </row>
    <row r="1250" ht="20.25" customHeight="1">
      <c r="A1250" s="44"/>
      <c r="B1250" s="44"/>
      <c r="C1250" s="44"/>
      <c r="D1250" s="44"/>
      <c r="E1250" s="44"/>
      <c r="F1250" s="44"/>
      <c r="G1250" s="44"/>
      <c r="H1250" s="44"/>
      <c r="I1250" s="44"/>
      <c r="J1250" s="76"/>
    </row>
    <row r="1251" ht="20.25" customHeight="1">
      <c r="A1251" s="44"/>
      <c r="B1251" s="44"/>
      <c r="C1251" s="44"/>
      <c r="D1251" s="44"/>
      <c r="E1251" s="44"/>
      <c r="F1251" s="44"/>
      <c r="G1251" s="44"/>
      <c r="H1251" s="44"/>
      <c r="I1251" s="44"/>
      <c r="J1251" s="76"/>
    </row>
    <row r="1252" ht="20.25" customHeight="1">
      <c r="A1252" s="44"/>
      <c r="B1252" s="44"/>
      <c r="C1252" s="44"/>
      <c r="D1252" s="44"/>
      <c r="E1252" s="44"/>
      <c r="F1252" s="44"/>
      <c r="G1252" s="44"/>
      <c r="H1252" s="44"/>
      <c r="I1252" s="44"/>
      <c r="J1252" s="76"/>
    </row>
    <row r="1253" ht="20.25" customHeight="1">
      <c r="A1253" s="44"/>
      <c r="B1253" s="44"/>
      <c r="C1253" s="44"/>
      <c r="D1253" s="44"/>
      <c r="E1253" s="44"/>
      <c r="F1253" s="44"/>
      <c r="G1253" s="44"/>
      <c r="H1253" s="44"/>
      <c r="I1253" s="44"/>
      <c r="J1253" s="76"/>
    </row>
    <row r="1254" ht="20.25" customHeight="1">
      <c r="A1254" s="44"/>
      <c r="B1254" s="44"/>
      <c r="C1254" s="44"/>
      <c r="D1254" s="44"/>
      <c r="E1254" s="44"/>
      <c r="F1254" s="44"/>
      <c r="G1254" s="44"/>
      <c r="H1254" s="44"/>
      <c r="I1254" s="44"/>
      <c r="J1254" s="76"/>
    </row>
    <row r="1255" ht="20.25" customHeight="1">
      <c r="A1255" s="44"/>
      <c r="B1255" s="44"/>
      <c r="C1255" s="44"/>
      <c r="D1255" s="44"/>
      <c r="E1255" s="44"/>
      <c r="F1255" s="44"/>
      <c r="G1255" s="44"/>
      <c r="H1255" s="44"/>
      <c r="I1255" s="44"/>
      <c r="J1255" s="76"/>
    </row>
    <row r="1256" ht="20.25" customHeight="1">
      <c r="A1256" s="44"/>
      <c r="B1256" s="44"/>
      <c r="C1256" s="44"/>
      <c r="D1256" s="44"/>
      <c r="E1256" s="44"/>
      <c r="F1256" s="44"/>
      <c r="G1256" s="44"/>
      <c r="H1256" s="44"/>
      <c r="I1256" s="44"/>
      <c r="J1256" s="76"/>
    </row>
    <row r="1257" ht="20.25" customHeight="1">
      <c r="A1257" s="44"/>
      <c r="B1257" s="44"/>
      <c r="C1257" s="44"/>
      <c r="D1257" s="44"/>
      <c r="E1257" s="44"/>
      <c r="F1257" s="44"/>
      <c r="G1257" s="44"/>
      <c r="H1257" s="44"/>
      <c r="I1257" s="44"/>
      <c r="J1257" s="76"/>
    </row>
    <row r="1258" ht="20.25" customHeight="1">
      <c r="A1258" s="44"/>
      <c r="B1258" s="44"/>
      <c r="C1258" s="44"/>
      <c r="D1258" s="44"/>
      <c r="E1258" s="44"/>
      <c r="F1258" s="44"/>
      <c r="G1258" s="44"/>
      <c r="H1258" s="44"/>
      <c r="I1258" s="44"/>
      <c r="J1258" s="76"/>
    </row>
    <row r="1259" ht="20.25" customHeight="1">
      <c r="A1259" s="44"/>
      <c r="B1259" s="44"/>
      <c r="C1259" s="44"/>
      <c r="D1259" s="44"/>
      <c r="E1259" s="44"/>
      <c r="F1259" s="44"/>
      <c r="G1259" s="44"/>
      <c r="H1259" s="44"/>
      <c r="I1259" s="44"/>
      <c r="J1259" s="76"/>
    </row>
    <row r="1260" ht="20.25" customHeight="1">
      <c r="A1260" s="44"/>
      <c r="B1260" s="44"/>
      <c r="C1260" s="44"/>
      <c r="D1260" s="44"/>
      <c r="E1260" s="44"/>
      <c r="F1260" s="44"/>
      <c r="G1260" s="44"/>
      <c r="H1260" s="44"/>
      <c r="I1260" s="44"/>
      <c r="J1260" s="76"/>
    </row>
    <row r="1261" ht="20.25" customHeight="1">
      <c r="A1261" s="44"/>
      <c r="B1261" s="44"/>
      <c r="C1261" s="44"/>
      <c r="D1261" s="44"/>
      <c r="E1261" s="44"/>
      <c r="F1261" s="44"/>
      <c r="G1261" s="44"/>
      <c r="H1261" s="44"/>
      <c r="I1261" s="44"/>
      <c r="J1261" s="76"/>
    </row>
    <row r="1262" ht="20.25" customHeight="1">
      <c r="A1262" s="44"/>
      <c r="B1262" s="44"/>
      <c r="C1262" s="44"/>
      <c r="D1262" s="44"/>
      <c r="E1262" s="44"/>
      <c r="F1262" s="44"/>
      <c r="G1262" s="44"/>
      <c r="H1262" s="44"/>
      <c r="I1262" s="44"/>
      <c r="J1262" s="76"/>
    </row>
    <row r="1263" ht="20.25" customHeight="1">
      <c r="A1263" s="44"/>
      <c r="B1263" s="44"/>
      <c r="C1263" s="44"/>
      <c r="D1263" s="44"/>
      <c r="E1263" s="44"/>
      <c r="F1263" s="44"/>
      <c r="G1263" s="44"/>
      <c r="H1263" s="44"/>
      <c r="I1263" s="44"/>
      <c r="J1263" s="76"/>
    </row>
    <row r="1264" ht="20.25" customHeight="1">
      <c r="A1264" s="44"/>
      <c r="B1264" s="44"/>
      <c r="C1264" s="44"/>
      <c r="D1264" s="44"/>
      <c r="E1264" s="44"/>
      <c r="F1264" s="44"/>
      <c r="G1264" s="44"/>
      <c r="H1264" s="44"/>
      <c r="I1264" s="44"/>
      <c r="J1264" s="76"/>
    </row>
    <row r="1265" ht="20.25" customHeight="1">
      <c r="A1265" s="44"/>
      <c r="B1265" s="44"/>
      <c r="C1265" s="44"/>
      <c r="D1265" s="44"/>
      <c r="E1265" s="44"/>
      <c r="F1265" s="44"/>
      <c r="G1265" s="44"/>
      <c r="H1265" s="44"/>
      <c r="I1265" s="44"/>
      <c r="J1265" s="76"/>
    </row>
    <row r="1266" ht="20.25" customHeight="1">
      <c r="A1266" s="44"/>
      <c r="B1266" s="44"/>
      <c r="C1266" s="44"/>
      <c r="D1266" s="44"/>
      <c r="E1266" s="44"/>
      <c r="F1266" s="44"/>
      <c r="G1266" s="44"/>
      <c r="H1266" s="44"/>
      <c r="I1266" s="44"/>
      <c r="J1266" s="76"/>
    </row>
    <row r="1267" ht="20.25" customHeight="1">
      <c r="A1267" s="44"/>
      <c r="B1267" s="44"/>
      <c r="C1267" s="44"/>
      <c r="D1267" s="44"/>
      <c r="E1267" s="44"/>
      <c r="F1267" s="44"/>
      <c r="G1267" s="44"/>
      <c r="H1267" s="44"/>
      <c r="I1267" s="44"/>
      <c r="J1267" s="76"/>
    </row>
    <row r="1268" ht="20.25" customHeight="1">
      <c r="A1268" s="44"/>
      <c r="B1268" s="44"/>
      <c r="C1268" s="44"/>
      <c r="D1268" s="44"/>
      <c r="E1268" s="44"/>
      <c r="F1268" s="44"/>
      <c r="G1268" s="44"/>
      <c r="H1268" s="44"/>
      <c r="I1268" s="44"/>
      <c r="J1268" s="76"/>
    </row>
    <row r="1269" ht="20.25" customHeight="1">
      <c r="A1269" s="44"/>
      <c r="B1269" s="44"/>
      <c r="C1269" s="44"/>
      <c r="D1269" s="44"/>
      <c r="E1269" s="44"/>
      <c r="F1269" s="44"/>
      <c r="G1269" s="44"/>
      <c r="H1269" s="44"/>
      <c r="I1269" s="44"/>
      <c r="J1269" s="76"/>
    </row>
    <row r="1270" ht="20.25" customHeight="1">
      <c r="A1270" s="44"/>
      <c r="B1270" s="44"/>
      <c r="C1270" s="44"/>
      <c r="D1270" s="44"/>
      <c r="E1270" s="44"/>
      <c r="F1270" s="44"/>
      <c r="G1270" s="44"/>
      <c r="H1270" s="44"/>
      <c r="I1270" s="44"/>
      <c r="J1270" s="76"/>
    </row>
    <row r="1271" ht="20.25" customHeight="1">
      <c r="A1271" s="44"/>
      <c r="B1271" s="44"/>
      <c r="C1271" s="44"/>
      <c r="D1271" s="44"/>
      <c r="E1271" s="44"/>
      <c r="F1271" s="44"/>
      <c r="G1271" s="44"/>
      <c r="H1271" s="44"/>
      <c r="I1271" s="44"/>
      <c r="J1271" s="76"/>
    </row>
    <row r="1272" ht="20.25" customHeight="1">
      <c r="A1272" s="44"/>
      <c r="B1272" s="44"/>
      <c r="C1272" s="44"/>
      <c r="D1272" s="44"/>
      <c r="E1272" s="44"/>
      <c r="F1272" s="44"/>
      <c r="G1272" s="44"/>
      <c r="H1272" s="44"/>
      <c r="I1272" s="44"/>
      <c r="J1272" s="76"/>
    </row>
    <row r="1273" ht="20.25" customHeight="1">
      <c r="A1273" s="44"/>
      <c r="B1273" s="44"/>
      <c r="C1273" s="44"/>
      <c r="D1273" s="44"/>
      <c r="E1273" s="44"/>
      <c r="F1273" s="44"/>
      <c r="G1273" s="44"/>
      <c r="H1273" s="44"/>
      <c r="I1273" s="44"/>
      <c r="J1273" s="76"/>
    </row>
    <row r="1274" ht="20.25" customHeight="1">
      <c r="A1274" s="44"/>
      <c r="B1274" s="44"/>
      <c r="C1274" s="44"/>
      <c r="D1274" s="44"/>
      <c r="E1274" s="44"/>
      <c r="F1274" s="44"/>
      <c r="G1274" s="44"/>
      <c r="H1274" s="44"/>
      <c r="I1274" s="44"/>
      <c r="J1274" s="76"/>
    </row>
    <row r="1275" ht="20.25" customHeight="1">
      <c r="A1275" s="44"/>
      <c r="B1275" s="44"/>
      <c r="C1275" s="44"/>
      <c r="D1275" s="44"/>
      <c r="E1275" s="44"/>
      <c r="F1275" s="44"/>
      <c r="G1275" s="44"/>
      <c r="H1275" s="44"/>
      <c r="I1275" s="44"/>
      <c r="J1275" s="76"/>
    </row>
    <row r="1276" ht="20.25" customHeight="1">
      <c r="A1276" s="44"/>
      <c r="B1276" s="44"/>
      <c r="C1276" s="44"/>
      <c r="D1276" s="44"/>
      <c r="E1276" s="44"/>
      <c r="F1276" s="44"/>
      <c r="G1276" s="44"/>
      <c r="H1276" s="44"/>
      <c r="I1276" s="44"/>
      <c r="J1276" s="76"/>
    </row>
    <row r="1277" ht="20.25" customHeight="1">
      <c r="A1277" s="44"/>
      <c r="B1277" s="44"/>
      <c r="C1277" s="44"/>
      <c r="D1277" s="44"/>
      <c r="E1277" s="44"/>
      <c r="F1277" s="44"/>
      <c r="G1277" s="44"/>
      <c r="H1277" s="44"/>
      <c r="I1277" s="44"/>
      <c r="J1277" s="76"/>
    </row>
    <row r="1278" ht="20.25" customHeight="1">
      <c r="A1278" s="44"/>
      <c r="B1278" s="44"/>
      <c r="C1278" s="44"/>
      <c r="D1278" s="44"/>
      <c r="E1278" s="44"/>
      <c r="F1278" s="44"/>
      <c r="G1278" s="44"/>
      <c r="H1278" s="44"/>
      <c r="I1278" s="44"/>
      <c r="J1278" s="76"/>
    </row>
    <row r="1279" ht="20.25" customHeight="1">
      <c r="A1279" s="44"/>
      <c r="B1279" s="44"/>
      <c r="C1279" s="44"/>
      <c r="D1279" s="44"/>
      <c r="E1279" s="44"/>
      <c r="F1279" s="44"/>
      <c r="G1279" s="44"/>
      <c r="H1279" s="44"/>
      <c r="I1279" s="44"/>
      <c r="J1279" s="76"/>
    </row>
    <row r="1280" ht="20.25" customHeight="1">
      <c r="A1280" s="44"/>
      <c r="B1280" s="44"/>
      <c r="C1280" s="44"/>
      <c r="D1280" s="44"/>
      <c r="E1280" s="44"/>
      <c r="F1280" s="44"/>
      <c r="G1280" s="44"/>
      <c r="H1280" s="44"/>
      <c r="I1280" s="44"/>
      <c r="J1280" s="76"/>
    </row>
    <row r="1281" ht="20.25" customHeight="1">
      <c r="A1281" s="44"/>
      <c r="B1281" s="44"/>
      <c r="C1281" s="44"/>
      <c r="D1281" s="44"/>
      <c r="E1281" s="44"/>
      <c r="F1281" s="44"/>
      <c r="G1281" s="44"/>
      <c r="H1281" s="44"/>
      <c r="I1281" s="44"/>
      <c r="J1281" s="76"/>
    </row>
    <row r="1282" ht="20.25" customHeight="1">
      <c r="A1282" s="44"/>
      <c r="B1282" s="44"/>
      <c r="C1282" s="44"/>
      <c r="D1282" s="44"/>
      <c r="E1282" s="44"/>
      <c r="F1282" s="44"/>
      <c r="G1282" s="44"/>
      <c r="H1282" s="44"/>
      <c r="I1282" s="44"/>
      <c r="J1282" s="76"/>
    </row>
    <row r="1283" ht="20.25" customHeight="1">
      <c r="A1283" s="44"/>
      <c r="B1283" s="44"/>
      <c r="C1283" s="44"/>
      <c r="D1283" s="44"/>
      <c r="E1283" s="44"/>
      <c r="F1283" s="44"/>
      <c r="G1283" s="44"/>
      <c r="H1283" s="44"/>
      <c r="I1283" s="44"/>
      <c r="J1283" s="76"/>
    </row>
    <row r="1284" ht="20.25" customHeight="1">
      <c r="A1284" s="44"/>
      <c r="B1284" s="44"/>
      <c r="C1284" s="44"/>
      <c r="D1284" s="44"/>
      <c r="E1284" s="44"/>
      <c r="F1284" s="44"/>
      <c r="G1284" s="44"/>
      <c r="H1284" s="44"/>
      <c r="I1284" s="44"/>
      <c r="J1284" s="76"/>
    </row>
    <row r="1285" ht="20.25" customHeight="1">
      <c r="A1285" s="44"/>
      <c r="B1285" s="44"/>
      <c r="C1285" s="44"/>
      <c r="D1285" s="44"/>
      <c r="E1285" s="44"/>
      <c r="F1285" s="44"/>
      <c r="G1285" s="44"/>
      <c r="H1285" s="44"/>
      <c r="I1285" s="44"/>
      <c r="J1285" s="76"/>
    </row>
    <row r="1286" ht="20.25" customHeight="1">
      <c r="A1286" s="44"/>
      <c r="B1286" s="44"/>
      <c r="C1286" s="44"/>
      <c r="D1286" s="44"/>
      <c r="E1286" s="44"/>
      <c r="F1286" s="44"/>
      <c r="G1286" s="44"/>
      <c r="H1286" s="44"/>
      <c r="I1286" s="44"/>
      <c r="J1286" s="76"/>
    </row>
    <row r="1287" ht="20.25" customHeight="1">
      <c r="A1287" s="44"/>
      <c r="B1287" s="44"/>
      <c r="C1287" s="44"/>
      <c r="D1287" s="44"/>
      <c r="E1287" s="44"/>
      <c r="F1287" s="44"/>
      <c r="G1287" s="44"/>
      <c r="H1287" s="44"/>
      <c r="I1287" s="44"/>
      <c r="J1287" s="76"/>
    </row>
    <row r="1288" ht="20.25" customHeight="1">
      <c r="A1288" s="44"/>
      <c r="B1288" s="44"/>
      <c r="C1288" s="44"/>
      <c r="D1288" s="44"/>
      <c r="E1288" s="44"/>
      <c r="F1288" s="44"/>
      <c r="G1288" s="44"/>
      <c r="H1288" s="44"/>
      <c r="I1288" s="44"/>
      <c r="J1288" s="76"/>
    </row>
    <row r="1289" ht="20.25" customHeight="1">
      <c r="A1289" s="44"/>
      <c r="B1289" s="44"/>
      <c r="C1289" s="44"/>
      <c r="D1289" s="44"/>
      <c r="E1289" s="44"/>
      <c r="F1289" s="44"/>
      <c r="G1289" s="44"/>
      <c r="H1289" s="44"/>
      <c r="I1289" s="44"/>
      <c r="J1289" s="76"/>
    </row>
    <row r="1290" ht="20.25" customHeight="1">
      <c r="A1290" s="44"/>
      <c r="B1290" s="44"/>
      <c r="C1290" s="44"/>
      <c r="D1290" s="44"/>
      <c r="E1290" s="44"/>
      <c r="F1290" s="44"/>
      <c r="G1290" s="44"/>
      <c r="H1290" s="44"/>
      <c r="I1290" s="44"/>
      <c r="J1290" s="76"/>
    </row>
    <row r="1291" ht="20.25" customHeight="1">
      <c r="A1291" s="44"/>
      <c r="B1291" s="44"/>
      <c r="C1291" s="44"/>
      <c r="D1291" s="44"/>
      <c r="E1291" s="44"/>
      <c r="F1291" s="44"/>
      <c r="G1291" s="44"/>
      <c r="H1291" s="44"/>
      <c r="I1291" s="44"/>
      <c r="J1291" s="76"/>
    </row>
    <row r="1292" ht="20.25" customHeight="1">
      <c r="A1292" s="44"/>
      <c r="B1292" s="44"/>
      <c r="C1292" s="44"/>
      <c r="D1292" s="44"/>
      <c r="E1292" s="44"/>
      <c r="F1292" s="44"/>
      <c r="G1292" s="44"/>
      <c r="H1292" s="44"/>
      <c r="I1292" s="44"/>
      <c r="J1292" s="76"/>
    </row>
    <row r="1293" ht="20.25" customHeight="1">
      <c r="A1293" s="44"/>
      <c r="B1293" s="44"/>
      <c r="C1293" s="44"/>
      <c r="D1293" s="44"/>
      <c r="E1293" s="44"/>
      <c r="F1293" s="44"/>
      <c r="G1293" s="44"/>
      <c r="H1293" s="44"/>
      <c r="I1293" s="44"/>
      <c r="J1293" s="76"/>
    </row>
    <row r="1294" ht="20.25" customHeight="1">
      <c r="A1294" s="44"/>
      <c r="B1294" s="44"/>
      <c r="C1294" s="44"/>
      <c r="D1294" s="44"/>
      <c r="E1294" s="44"/>
      <c r="F1294" s="44"/>
      <c r="G1294" s="44"/>
      <c r="H1294" s="44"/>
      <c r="I1294" s="44"/>
      <c r="J1294" s="76"/>
    </row>
    <row r="1295" ht="20.25" customHeight="1">
      <c r="A1295" s="44"/>
      <c r="B1295" s="44"/>
      <c r="C1295" s="44"/>
      <c r="D1295" s="44"/>
      <c r="E1295" s="44"/>
      <c r="F1295" s="44"/>
      <c r="G1295" s="44"/>
      <c r="H1295" s="44"/>
      <c r="I1295" s="44"/>
      <c r="J1295" s="76"/>
    </row>
    <row r="1296" ht="20.25" customHeight="1">
      <c r="A1296" s="44"/>
      <c r="B1296" s="44"/>
      <c r="C1296" s="44"/>
      <c r="D1296" s="44"/>
      <c r="E1296" s="44"/>
      <c r="F1296" s="44"/>
      <c r="G1296" s="44"/>
      <c r="H1296" s="44"/>
      <c r="I1296" s="44"/>
      <c r="J1296" s="76"/>
    </row>
    <row r="1297" ht="20.25" customHeight="1">
      <c r="A1297" s="44"/>
      <c r="B1297" s="44"/>
      <c r="C1297" s="44"/>
      <c r="D1297" s="44"/>
      <c r="E1297" s="44"/>
      <c r="F1297" s="44"/>
      <c r="G1297" s="44"/>
      <c r="H1297" s="44"/>
      <c r="I1297" s="44"/>
      <c r="J1297" s="76"/>
    </row>
    <row r="1298" ht="20.25" customHeight="1">
      <c r="A1298" s="44"/>
      <c r="B1298" s="44"/>
      <c r="C1298" s="44"/>
      <c r="D1298" s="44"/>
      <c r="E1298" s="44"/>
      <c r="F1298" s="44"/>
      <c r="G1298" s="44"/>
      <c r="H1298" s="44"/>
      <c r="I1298" s="44"/>
      <c r="J1298" s="76"/>
    </row>
    <row r="1299" ht="20.25" customHeight="1">
      <c r="A1299" s="44"/>
      <c r="B1299" s="44"/>
      <c r="C1299" s="44"/>
      <c r="D1299" s="44"/>
      <c r="E1299" s="44"/>
      <c r="F1299" s="44"/>
      <c r="G1299" s="44"/>
      <c r="H1299" s="44"/>
      <c r="I1299" s="44"/>
      <c r="J1299" s="76"/>
    </row>
    <row r="1300" ht="20.25" customHeight="1">
      <c r="A1300" s="44"/>
      <c r="B1300" s="44"/>
      <c r="C1300" s="44"/>
      <c r="D1300" s="44"/>
      <c r="E1300" s="44"/>
      <c r="F1300" s="44"/>
      <c r="G1300" s="44"/>
      <c r="H1300" s="44"/>
      <c r="I1300" s="44"/>
      <c r="J1300" s="76"/>
    </row>
    <row r="1301" ht="20.25" customHeight="1">
      <c r="A1301" s="44"/>
      <c r="B1301" s="44"/>
      <c r="C1301" s="44"/>
      <c r="D1301" s="44"/>
      <c r="E1301" s="44"/>
      <c r="F1301" s="44"/>
      <c r="G1301" s="44"/>
      <c r="H1301" s="44"/>
      <c r="I1301" s="44"/>
      <c r="J1301" s="76"/>
    </row>
    <row r="1302" ht="20.25" customHeight="1">
      <c r="A1302" s="44"/>
      <c r="B1302" s="44"/>
      <c r="C1302" s="44"/>
      <c r="D1302" s="44"/>
      <c r="E1302" s="44"/>
      <c r="F1302" s="44"/>
      <c r="G1302" s="44"/>
      <c r="H1302" s="44"/>
      <c r="I1302" s="44"/>
      <c r="J1302" s="76"/>
    </row>
    <row r="1303" ht="20.25" customHeight="1">
      <c r="A1303" s="44"/>
      <c r="B1303" s="44"/>
      <c r="C1303" s="44"/>
      <c r="D1303" s="44"/>
      <c r="E1303" s="44"/>
      <c r="F1303" s="44"/>
      <c r="G1303" s="44"/>
      <c r="H1303" s="44"/>
      <c r="I1303" s="44"/>
      <c r="J1303" s="76"/>
    </row>
    <row r="1304" ht="20.25" customHeight="1">
      <c r="A1304" s="44"/>
      <c r="B1304" s="44"/>
      <c r="C1304" s="44"/>
      <c r="D1304" s="44"/>
      <c r="E1304" s="44"/>
      <c r="F1304" s="44"/>
      <c r="G1304" s="44"/>
      <c r="H1304" s="44"/>
      <c r="I1304" s="44"/>
      <c r="J1304" s="76"/>
    </row>
    <row r="1305" ht="20.25" customHeight="1">
      <c r="A1305" s="44"/>
      <c r="B1305" s="44"/>
      <c r="C1305" s="44"/>
      <c r="D1305" s="44"/>
      <c r="E1305" s="44"/>
      <c r="F1305" s="44"/>
      <c r="G1305" s="44"/>
      <c r="H1305" s="44"/>
      <c r="I1305" s="44"/>
      <c r="J1305" s="76"/>
    </row>
    <row r="1306" ht="20.25" customHeight="1">
      <c r="A1306" s="44"/>
      <c r="B1306" s="44"/>
      <c r="C1306" s="44"/>
      <c r="D1306" s="44"/>
      <c r="E1306" s="44"/>
      <c r="F1306" s="44"/>
      <c r="G1306" s="44"/>
      <c r="H1306" s="44"/>
      <c r="I1306" s="44"/>
      <c r="J1306" s="76"/>
    </row>
    <row r="1307" ht="20.25" customHeight="1">
      <c r="A1307" s="44"/>
      <c r="B1307" s="44"/>
      <c r="C1307" s="44"/>
      <c r="D1307" s="44"/>
      <c r="E1307" s="44"/>
      <c r="F1307" s="44"/>
      <c r="G1307" s="44"/>
      <c r="H1307" s="44"/>
      <c r="I1307" s="44"/>
      <c r="J1307" s="76"/>
    </row>
    <row r="1308" ht="20.25" customHeight="1">
      <c r="A1308" s="44"/>
      <c r="B1308" s="44"/>
      <c r="C1308" s="44"/>
      <c r="D1308" s="44"/>
      <c r="E1308" s="44"/>
      <c r="F1308" s="44"/>
      <c r="G1308" s="44"/>
      <c r="H1308" s="44"/>
      <c r="I1308" s="44"/>
      <c r="J1308" s="76"/>
    </row>
    <row r="1309" ht="20.25" customHeight="1">
      <c r="A1309" s="44"/>
      <c r="B1309" s="44"/>
      <c r="C1309" s="44"/>
      <c r="D1309" s="44"/>
      <c r="E1309" s="44"/>
      <c r="F1309" s="44"/>
      <c r="G1309" s="44"/>
      <c r="H1309" s="44"/>
      <c r="I1309" s="44"/>
      <c r="J1309" s="76"/>
    </row>
    <row r="1310" ht="20.25" customHeight="1">
      <c r="A1310" s="44"/>
      <c r="B1310" s="44"/>
      <c r="C1310" s="44"/>
      <c r="D1310" s="44"/>
      <c r="E1310" s="44"/>
      <c r="F1310" s="44"/>
      <c r="G1310" s="44"/>
      <c r="H1310" s="44"/>
      <c r="I1310" s="44"/>
      <c r="J1310" s="76"/>
    </row>
    <row r="1311" ht="20.25" customHeight="1">
      <c r="A1311" s="44"/>
      <c r="B1311" s="44"/>
      <c r="C1311" s="44"/>
      <c r="D1311" s="44"/>
      <c r="E1311" s="44"/>
      <c r="F1311" s="44"/>
      <c r="G1311" s="44"/>
      <c r="H1311" s="44"/>
      <c r="I1311" s="44"/>
      <c r="J1311" s="76"/>
    </row>
    <row r="1312" ht="20.25" customHeight="1">
      <c r="A1312" s="44"/>
      <c r="B1312" s="44"/>
      <c r="C1312" s="44"/>
      <c r="D1312" s="44"/>
      <c r="E1312" s="44"/>
      <c r="F1312" s="44"/>
      <c r="G1312" s="44"/>
      <c r="H1312" s="44"/>
      <c r="I1312" s="44"/>
      <c r="J1312" s="76"/>
    </row>
    <row r="1313" ht="20.25" customHeight="1">
      <c r="A1313" s="44"/>
      <c r="B1313" s="44"/>
      <c r="C1313" s="44"/>
      <c r="D1313" s="44"/>
      <c r="E1313" s="44"/>
      <c r="F1313" s="44"/>
      <c r="G1313" s="44"/>
      <c r="H1313" s="44"/>
      <c r="I1313" s="44"/>
      <c r="J1313" s="76"/>
    </row>
    <row r="1314" ht="20.25" customHeight="1">
      <c r="A1314" s="44"/>
      <c r="B1314" s="44"/>
      <c r="C1314" s="44"/>
      <c r="D1314" s="44"/>
      <c r="E1314" s="44"/>
      <c r="F1314" s="44"/>
      <c r="G1314" s="44"/>
      <c r="H1314" s="44"/>
      <c r="I1314" s="44"/>
      <c r="J1314" s="76"/>
    </row>
    <row r="1315" ht="20.25" customHeight="1">
      <c r="A1315" s="44"/>
      <c r="B1315" s="44"/>
      <c r="C1315" s="44"/>
      <c r="D1315" s="44"/>
      <c r="E1315" s="44"/>
      <c r="F1315" s="44"/>
      <c r="G1315" s="44"/>
      <c r="H1315" s="44"/>
      <c r="I1315" s="44"/>
      <c r="J1315" s="76"/>
    </row>
    <row r="1316" ht="20.25" customHeight="1">
      <c r="A1316" s="44"/>
      <c r="B1316" s="44"/>
      <c r="C1316" s="44"/>
      <c r="D1316" s="44"/>
      <c r="E1316" s="44"/>
      <c r="F1316" s="44"/>
      <c r="G1316" s="44"/>
      <c r="H1316" s="44"/>
      <c r="I1316" s="44"/>
      <c r="J1316" s="76"/>
    </row>
    <row r="1317" ht="20.25" customHeight="1">
      <c r="A1317" s="44"/>
      <c r="B1317" s="44"/>
      <c r="C1317" s="44"/>
      <c r="D1317" s="44"/>
      <c r="E1317" s="44"/>
      <c r="F1317" s="44"/>
      <c r="G1317" s="44"/>
      <c r="H1317" s="44"/>
      <c r="I1317" s="44"/>
      <c r="J1317" s="76"/>
    </row>
    <row r="1318" ht="20.25" customHeight="1">
      <c r="A1318" s="44"/>
      <c r="B1318" s="44"/>
      <c r="C1318" s="44"/>
      <c r="D1318" s="44"/>
      <c r="E1318" s="44"/>
      <c r="F1318" s="44"/>
      <c r="G1318" s="44"/>
      <c r="H1318" s="44"/>
      <c r="I1318" s="44"/>
      <c r="J1318" s="76"/>
    </row>
    <row r="1319" ht="20.25" customHeight="1">
      <c r="A1319" s="44"/>
      <c r="B1319" s="44"/>
      <c r="C1319" s="44"/>
      <c r="D1319" s="44"/>
      <c r="E1319" s="44"/>
      <c r="F1319" s="44"/>
      <c r="G1319" s="44"/>
      <c r="H1319" s="44"/>
      <c r="I1319" s="44"/>
      <c r="J1319" s="76"/>
    </row>
    <row r="1320" ht="20.25" customHeight="1">
      <c r="A1320" s="44"/>
      <c r="B1320" s="44"/>
      <c r="C1320" s="44"/>
      <c r="D1320" s="44"/>
      <c r="E1320" s="44"/>
      <c r="F1320" s="44"/>
      <c r="G1320" s="44"/>
      <c r="H1320" s="44"/>
      <c r="I1320" s="44"/>
      <c r="J1320" s="76"/>
    </row>
    <row r="1321" ht="20.25" customHeight="1">
      <c r="A1321" s="44"/>
      <c r="B1321" s="44"/>
      <c r="C1321" s="44"/>
      <c r="D1321" s="44"/>
      <c r="E1321" s="44"/>
      <c r="F1321" s="44"/>
      <c r="G1321" s="44"/>
      <c r="H1321" s="44"/>
      <c r="I1321" s="44"/>
      <c r="J1321" s="76"/>
    </row>
    <row r="1322" ht="20.25" customHeight="1">
      <c r="A1322" s="44"/>
      <c r="B1322" s="44"/>
      <c r="C1322" s="44"/>
      <c r="D1322" s="44"/>
      <c r="E1322" s="44"/>
      <c r="F1322" s="44"/>
      <c r="G1322" s="44"/>
      <c r="H1322" s="44"/>
      <c r="I1322" s="44"/>
      <c r="J1322" s="76"/>
    </row>
    <row r="1323" ht="20.25" customHeight="1">
      <c r="A1323" s="44"/>
      <c r="B1323" s="44"/>
      <c r="C1323" s="44"/>
      <c r="D1323" s="44"/>
      <c r="E1323" s="44"/>
      <c r="F1323" s="44"/>
      <c r="G1323" s="44"/>
      <c r="H1323" s="44"/>
      <c r="I1323" s="44"/>
      <c r="J1323" s="76"/>
    </row>
    <row r="1324" ht="20.25" customHeight="1">
      <c r="A1324" s="44"/>
      <c r="B1324" s="44"/>
      <c r="C1324" s="44"/>
      <c r="D1324" s="44"/>
      <c r="E1324" s="44"/>
      <c r="F1324" s="44"/>
      <c r="G1324" s="44"/>
      <c r="H1324" s="44"/>
      <c r="I1324" s="44"/>
      <c r="J1324" s="76"/>
    </row>
    <row r="1325" ht="20.25" customHeight="1">
      <c r="A1325" s="44"/>
      <c r="B1325" s="44"/>
      <c r="C1325" s="44"/>
      <c r="D1325" s="44"/>
      <c r="E1325" s="44"/>
      <c r="F1325" s="44"/>
      <c r="G1325" s="44"/>
      <c r="H1325" s="44"/>
      <c r="I1325" s="44"/>
      <c r="J1325" s="76"/>
    </row>
    <row r="1326" ht="20.25" customHeight="1">
      <c r="A1326" s="44"/>
      <c r="B1326" s="44"/>
      <c r="C1326" s="44"/>
      <c r="D1326" s="44"/>
      <c r="E1326" s="44"/>
      <c r="F1326" s="44"/>
      <c r="G1326" s="44"/>
      <c r="H1326" s="44"/>
      <c r="I1326" s="44"/>
      <c r="J1326" s="76"/>
    </row>
    <row r="1327" ht="20.25" customHeight="1">
      <c r="A1327" s="44"/>
      <c r="B1327" s="44"/>
      <c r="C1327" s="44"/>
      <c r="D1327" s="44"/>
      <c r="E1327" s="44"/>
      <c r="F1327" s="44"/>
      <c r="G1327" s="44"/>
      <c r="H1327" s="44"/>
      <c r="I1327" s="44"/>
      <c r="J1327" s="76"/>
    </row>
    <row r="1328" ht="20.25" customHeight="1">
      <c r="A1328" s="44"/>
      <c r="B1328" s="44"/>
      <c r="C1328" s="44"/>
      <c r="D1328" s="44"/>
      <c r="E1328" s="44"/>
      <c r="F1328" s="44"/>
      <c r="G1328" s="44"/>
      <c r="H1328" s="44"/>
      <c r="I1328" s="44"/>
      <c r="J1328" s="76"/>
    </row>
    <row r="1329" ht="20.25" customHeight="1">
      <c r="A1329" s="44"/>
      <c r="B1329" s="44"/>
      <c r="C1329" s="44"/>
      <c r="D1329" s="44"/>
      <c r="E1329" s="44"/>
      <c r="F1329" s="44"/>
      <c r="G1329" s="44"/>
      <c r="H1329" s="44"/>
      <c r="I1329" s="44"/>
      <c r="J1329" s="76"/>
    </row>
    <row r="1330" ht="20.25" customHeight="1">
      <c r="A1330" s="44"/>
      <c r="B1330" s="44"/>
      <c r="C1330" s="44"/>
      <c r="D1330" s="44"/>
      <c r="E1330" s="44"/>
      <c r="F1330" s="44"/>
      <c r="G1330" s="44"/>
      <c r="H1330" s="44"/>
      <c r="I1330" s="44"/>
      <c r="J1330" s="76"/>
    </row>
    <row r="1331" ht="20.25" customHeight="1">
      <c r="A1331" s="44"/>
      <c r="B1331" s="44"/>
      <c r="C1331" s="44"/>
      <c r="D1331" s="44"/>
      <c r="E1331" s="44"/>
      <c r="F1331" s="44"/>
      <c r="G1331" s="44"/>
      <c r="H1331" s="44"/>
      <c r="I1331" s="44"/>
      <c r="J1331" s="76"/>
    </row>
    <row r="1332" ht="20.25" customHeight="1">
      <c r="A1332" s="44"/>
      <c r="B1332" s="44"/>
      <c r="C1332" s="44"/>
      <c r="D1332" s="44"/>
      <c r="E1332" s="44"/>
      <c r="F1332" s="44"/>
      <c r="G1332" s="44"/>
      <c r="H1332" s="44"/>
      <c r="I1332" s="44"/>
      <c r="J1332" s="76"/>
    </row>
    <row r="1333" ht="20.25" customHeight="1">
      <c r="A1333" s="44"/>
      <c r="B1333" s="44"/>
      <c r="C1333" s="44"/>
      <c r="D1333" s="44"/>
      <c r="E1333" s="44"/>
      <c r="F1333" s="44"/>
      <c r="G1333" s="44"/>
      <c r="H1333" s="44"/>
      <c r="I1333" s="44"/>
      <c r="J1333" s="76"/>
    </row>
    <row r="1334" ht="20.25" customHeight="1">
      <c r="A1334" s="44"/>
      <c r="B1334" s="44"/>
      <c r="C1334" s="44"/>
      <c r="D1334" s="44"/>
      <c r="E1334" s="44"/>
      <c r="F1334" s="44"/>
      <c r="G1334" s="44"/>
      <c r="H1334" s="44"/>
      <c r="I1334" s="44"/>
      <c r="J1334" s="76"/>
    </row>
    <row r="1335" ht="20.25" customHeight="1">
      <c r="A1335" s="44"/>
      <c r="B1335" s="44"/>
      <c r="C1335" s="44"/>
      <c r="D1335" s="44"/>
      <c r="E1335" s="44"/>
      <c r="F1335" s="44"/>
      <c r="G1335" s="44"/>
      <c r="H1335" s="44"/>
      <c r="I1335" s="44"/>
      <c r="J1335" s="76"/>
    </row>
    <row r="1336" ht="20.25" customHeight="1">
      <c r="A1336" s="44"/>
      <c r="B1336" s="44"/>
      <c r="C1336" s="44"/>
      <c r="D1336" s="44"/>
      <c r="E1336" s="44"/>
      <c r="F1336" s="44"/>
      <c r="G1336" s="44"/>
      <c r="H1336" s="44"/>
      <c r="I1336" s="44"/>
      <c r="J1336" s="76"/>
    </row>
    <row r="1337" ht="20.25" customHeight="1">
      <c r="A1337" s="44"/>
      <c r="B1337" s="44"/>
      <c r="C1337" s="44"/>
      <c r="D1337" s="44"/>
      <c r="E1337" s="44"/>
      <c r="F1337" s="44"/>
      <c r="G1337" s="44"/>
      <c r="H1337" s="44"/>
      <c r="I1337" s="44"/>
      <c r="J1337" s="76"/>
    </row>
    <row r="1338" ht="20.25" customHeight="1">
      <c r="A1338" s="44"/>
      <c r="B1338" s="44"/>
      <c r="C1338" s="44"/>
      <c r="D1338" s="44"/>
      <c r="E1338" s="44"/>
      <c r="F1338" s="44"/>
      <c r="G1338" s="44"/>
      <c r="H1338" s="44"/>
      <c r="I1338" s="44"/>
      <c r="J1338" s="76"/>
    </row>
    <row r="1339" ht="20.25" customHeight="1">
      <c r="A1339" s="44"/>
      <c r="B1339" s="44"/>
      <c r="C1339" s="44"/>
      <c r="D1339" s="44"/>
      <c r="E1339" s="44"/>
      <c r="F1339" s="44"/>
      <c r="G1339" s="44"/>
      <c r="H1339" s="44"/>
      <c r="I1339" s="44"/>
      <c r="J1339" s="76"/>
    </row>
    <row r="1340" ht="20.25" customHeight="1">
      <c r="A1340" s="44"/>
      <c r="B1340" s="44"/>
      <c r="C1340" s="44"/>
      <c r="D1340" s="44"/>
      <c r="E1340" s="44"/>
      <c r="F1340" s="44"/>
      <c r="G1340" s="44"/>
      <c r="H1340" s="44"/>
      <c r="I1340" s="44"/>
      <c r="J1340" s="76"/>
    </row>
    <row r="1341" ht="20.25" customHeight="1">
      <c r="A1341" s="44"/>
      <c r="B1341" s="44"/>
      <c r="C1341" s="44"/>
      <c r="D1341" s="44"/>
      <c r="E1341" s="44"/>
      <c r="F1341" s="44"/>
      <c r="G1341" s="44"/>
      <c r="H1341" s="44"/>
      <c r="I1341" s="44"/>
      <c r="J1341" s="76"/>
    </row>
    <row r="1342" ht="20.25" customHeight="1">
      <c r="A1342" s="44"/>
      <c r="B1342" s="44"/>
      <c r="C1342" s="44"/>
      <c r="D1342" s="44"/>
      <c r="E1342" s="44"/>
      <c r="F1342" s="44"/>
      <c r="G1342" s="44"/>
      <c r="H1342" s="44"/>
      <c r="I1342" s="44"/>
      <c r="J1342" s="76"/>
    </row>
    <row r="1343" ht="20.25" customHeight="1">
      <c r="A1343" s="44"/>
      <c r="B1343" s="44"/>
      <c r="C1343" s="44"/>
      <c r="D1343" s="44"/>
      <c r="E1343" s="44"/>
      <c r="F1343" s="44"/>
      <c r="G1343" s="44"/>
      <c r="H1343" s="44"/>
      <c r="I1343" s="44"/>
      <c r="J1343" s="76"/>
    </row>
    <row r="1344" ht="20.25" customHeight="1">
      <c r="A1344" s="44"/>
      <c r="B1344" s="44"/>
      <c r="C1344" s="44"/>
      <c r="D1344" s="44"/>
      <c r="E1344" s="44"/>
      <c r="F1344" s="44"/>
      <c r="G1344" s="44"/>
      <c r="H1344" s="44"/>
      <c r="I1344" s="44"/>
      <c r="J1344" s="76"/>
    </row>
    <row r="1345" ht="20.25" customHeight="1">
      <c r="A1345" s="44"/>
      <c r="B1345" s="44"/>
      <c r="C1345" s="44"/>
      <c r="D1345" s="44"/>
      <c r="E1345" s="44"/>
      <c r="F1345" s="44"/>
      <c r="G1345" s="44"/>
      <c r="H1345" s="44"/>
      <c r="I1345" s="44"/>
      <c r="J1345" s="76"/>
    </row>
    <row r="1346" ht="20.25" customHeight="1">
      <c r="A1346" s="44"/>
      <c r="B1346" s="44"/>
      <c r="C1346" s="44"/>
      <c r="D1346" s="44"/>
      <c r="E1346" s="44"/>
      <c r="F1346" s="44"/>
      <c r="G1346" s="44"/>
      <c r="H1346" s="44"/>
      <c r="I1346" s="44"/>
      <c r="J1346" s="76"/>
    </row>
    <row r="1347" ht="20.25" customHeight="1">
      <c r="A1347" s="44"/>
      <c r="B1347" s="44"/>
      <c r="C1347" s="44"/>
      <c r="D1347" s="44"/>
      <c r="E1347" s="44"/>
      <c r="F1347" s="44"/>
      <c r="G1347" s="44"/>
      <c r="H1347" s="44"/>
      <c r="I1347" s="44"/>
      <c r="J1347" s="76"/>
    </row>
    <row r="1348" ht="20.25" customHeight="1">
      <c r="A1348" s="44"/>
      <c r="B1348" s="44"/>
      <c r="C1348" s="44"/>
      <c r="D1348" s="44"/>
      <c r="E1348" s="44"/>
      <c r="F1348" s="44"/>
      <c r="G1348" s="44"/>
      <c r="H1348" s="44"/>
      <c r="I1348" s="44"/>
      <c r="J1348" s="76"/>
    </row>
    <row r="1349" ht="20.25" customHeight="1">
      <c r="A1349" s="44"/>
      <c r="B1349" s="44"/>
      <c r="C1349" s="44"/>
      <c r="D1349" s="44"/>
      <c r="E1349" s="44"/>
      <c r="F1349" s="44"/>
      <c r="G1349" s="44"/>
      <c r="H1349" s="44"/>
      <c r="I1349" s="44"/>
      <c r="J1349" s="76"/>
    </row>
    <row r="1350" ht="20.25" customHeight="1">
      <c r="A1350" s="44"/>
      <c r="B1350" s="44"/>
      <c r="C1350" s="44"/>
      <c r="D1350" s="44"/>
      <c r="E1350" s="44"/>
      <c r="F1350" s="44"/>
      <c r="G1350" s="44"/>
      <c r="H1350" s="44"/>
      <c r="I1350" s="44"/>
      <c r="J1350" s="76"/>
    </row>
    <row r="1351" ht="20.25" customHeight="1">
      <c r="A1351" s="44"/>
      <c r="B1351" s="44"/>
      <c r="C1351" s="44"/>
      <c r="D1351" s="44"/>
      <c r="E1351" s="44"/>
      <c r="F1351" s="44"/>
      <c r="G1351" s="44"/>
      <c r="H1351" s="44"/>
      <c r="I1351" s="44"/>
      <c r="J1351" s="76"/>
    </row>
    <row r="1352" ht="20.25" customHeight="1">
      <c r="A1352" s="44"/>
      <c r="B1352" s="44"/>
      <c r="C1352" s="44"/>
      <c r="D1352" s="44"/>
      <c r="E1352" s="44"/>
      <c r="F1352" s="44"/>
      <c r="G1352" s="44"/>
      <c r="H1352" s="44"/>
      <c r="I1352" s="44"/>
      <c r="J1352" s="76"/>
    </row>
    <row r="1353" ht="20.25" customHeight="1">
      <c r="A1353" s="44"/>
      <c r="B1353" s="44"/>
      <c r="C1353" s="44"/>
      <c r="D1353" s="44"/>
      <c r="E1353" s="44"/>
      <c r="F1353" s="44"/>
      <c r="G1353" s="44"/>
      <c r="H1353" s="44"/>
      <c r="I1353" s="44"/>
      <c r="J1353" s="76"/>
    </row>
    <row r="1354" ht="20.25" customHeight="1">
      <c r="A1354" s="44"/>
      <c r="B1354" s="44"/>
      <c r="C1354" s="44"/>
      <c r="D1354" s="44"/>
      <c r="E1354" s="44"/>
      <c r="F1354" s="44"/>
      <c r="G1354" s="44"/>
      <c r="H1354" s="44"/>
      <c r="I1354" s="44"/>
      <c r="J1354" s="76"/>
    </row>
    <row r="1355" ht="20.25" customHeight="1">
      <c r="A1355" s="44"/>
      <c r="B1355" s="44"/>
      <c r="C1355" s="44"/>
      <c r="D1355" s="44"/>
      <c r="E1355" s="44"/>
      <c r="F1355" s="44"/>
      <c r="G1355" s="44"/>
      <c r="H1355" s="44"/>
      <c r="I1355" s="44"/>
      <c r="J1355" s="76"/>
    </row>
    <row r="1356" ht="20.25" customHeight="1">
      <c r="A1356" s="44"/>
      <c r="B1356" s="44"/>
      <c r="C1356" s="44"/>
      <c r="D1356" s="44"/>
      <c r="E1356" s="44"/>
      <c r="F1356" s="44"/>
      <c r="G1356" s="44"/>
      <c r="H1356" s="44"/>
      <c r="I1356" s="44"/>
      <c r="J1356" s="76"/>
    </row>
    <row r="1357" ht="20.25" customHeight="1">
      <c r="A1357" s="44"/>
      <c r="B1357" s="44"/>
      <c r="C1357" s="44"/>
      <c r="D1357" s="44"/>
      <c r="E1357" s="44"/>
      <c r="F1357" s="44"/>
      <c r="G1357" s="44"/>
      <c r="H1357" s="44"/>
      <c r="I1357" s="44"/>
      <c r="J1357" s="76"/>
    </row>
    <row r="1358" ht="20.25" customHeight="1">
      <c r="A1358" s="44"/>
      <c r="B1358" s="44"/>
      <c r="C1358" s="44"/>
      <c r="D1358" s="44"/>
      <c r="E1358" s="44"/>
      <c r="F1358" s="44"/>
      <c r="G1358" s="44"/>
      <c r="H1358" s="44"/>
      <c r="I1358" s="44"/>
      <c r="J1358" s="76"/>
    </row>
    <row r="1359" ht="20.25" customHeight="1">
      <c r="A1359" s="44"/>
      <c r="B1359" s="44"/>
      <c r="C1359" s="44"/>
      <c r="D1359" s="44"/>
      <c r="E1359" s="44"/>
      <c r="F1359" s="44"/>
      <c r="G1359" s="44"/>
      <c r="H1359" s="44"/>
      <c r="I1359" s="44"/>
      <c r="J1359" s="76"/>
    </row>
    <row r="1360" ht="20.25" customHeight="1">
      <c r="A1360" s="44"/>
      <c r="B1360" s="44"/>
      <c r="C1360" s="44"/>
      <c r="D1360" s="44"/>
      <c r="E1360" s="44"/>
      <c r="F1360" s="44"/>
      <c r="G1360" s="44"/>
      <c r="H1360" s="44"/>
      <c r="I1360" s="44"/>
      <c r="J1360" s="76"/>
    </row>
    <row r="1361" ht="20.25" customHeight="1">
      <c r="A1361" s="44"/>
      <c r="B1361" s="44"/>
      <c r="C1361" s="44"/>
      <c r="D1361" s="44"/>
      <c r="E1361" s="44"/>
      <c r="F1361" s="44"/>
      <c r="G1361" s="44"/>
      <c r="H1361" s="44"/>
      <c r="I1361" s="44"/>
      <c r="J1361" s="76"/>
    </row>
    <row r="1362" ht="20.25" customHeight="1">
      <c r="A1362" s="44"/>
      <c r="B1362" s="44"/>
      <c r="C1362" s="44"/>
      <c r="D1362" s="44"/>
      <c r="E1362" s="44"/>
      <c r="F1362" s="44"/>
      <c r="G1362" s="44"/>
      <c r="H1362" s="44"/>
      <c r="I1362" s="44"/>
      <c r="J1362" s="76"/>
    </row>
    <row r="1363" ht="20.25" customHeight="1">
      <c r="A1363" s="44"/>
      <c r="B1363" s="44"/>
      <c r="C1363" s="44"/>
      <c r="D1363" s="44"/>
      <c r="E1363" s="44"/>
      <c r="F1363" s="44"/>
      <c r="G1363" s="44"/>
      <c r="H1363" s="44"/>
      <c r="I1363" s="44"/>
      <c r="J1363" s="76"/>
    </row>
    <row r="1364" ht="20.25" customHeight="1">
      <c r="A1364" s="44"/>
      <c r="B1364" s="44"/>
      <c r="C1364" s="44"/>
      <c r="D1364" s="44"/>
      <c r="E1364" s="44"/>
      <c r="F1364" s="44"/>
      <c r="G1364" s="44"/>
      <c r="H1364" s="44"/>
      <c r="I1364" s="44"/>
      <c r="J1364" s="76"/>
    </row>
    <row r="1365" ht="20.25" customHeight="1">
      <c r="A1365" s="44"/>
      <c r="B1365" s="44"/>
      <c r="C1365" s="44"/>
      <c r="D1365" s="44"/>
      <c r="E1365" s="44"/>
      <c r="F1365" s="44"/>
      <c r="G1365" s="44"/>
      <c r="H1365" s="44"/>
      <c r="I1365" s="44"/>
      <c r="J1365" s="76"/>
    </row>
    <row r="1366" ht="20.25" customHeight="1">
      <c r="A1366" s="44"/>
      <c r="B1366" s="44"/>
      <c r="C1366" s="44"/>
      <c r="D1366" s="44"/>
      <c r="E1366" s="44"/>
      <c r="F1366" s="44"/>
      <c r="G1366" s="44"/>
      <c r="H1366" s="44"/>
      <c r="I1366" s="44"/>
      <c r="J1366" s="76"/>
    </row>
    <row r="1367" ht="20.25" customHeight="1">
      <c r="A1367" s="44"/>
      <c r="B1367" s="44"/>
      <c r="C1367" s="44"/>
      <c r="D1367" s="44"/>
      <c r="E1367" s="44"/>
      <c r="F1367" s="44"/>
      <c r="G1367" s="44"/>
      <c r="H1367" s="44"/>
      <c r="I1367" s="44"/>
      <c r="J1367" s="76"/>
    </row>
    <row r="1368" ht="20.25" customHeight="1">
      <c r="A1368" s="44"/>
      <c r="B1368" s="44"/>
      <c r="C1368" s="44"/>
      <c r="D1368" s="44"/>
      <c r="E1368" s="44"/>
      <c r="F1368" s="44"/>
      <c r="G1368" s="44"/>
      <c r="H1368" s="44"/>
      <c r="I1368" s="44"/>
      <c r="J1368" s="76"/>
    </row>
    <row r="1369" ht="20.25" customHeight="1">
      <c r="A1369" s="44"/>
      <c r="B1369" s="44"/>
      <c r="C1369" s="44"/>
      <c r="D1369" s="44"/>
      <c r="E1369" s="44"/>
      <c r="F1369" s="44"/>
      <c r="G1369" s="44"/>
      <c r="H1369" s="44"/>
      <c r="I1369" s="44"/>
      <c r="J1369" s="76"/>
    </row>
    <row r="1370" ht="20.25" customHeight="1">
      <c r="A1370" s="44"/>
      <c r="B1370" s="44"/>
      <c r="C1370" s="44"/>
      <c r="D1370" s="44"/>
      <c r="E1370" s="44"/>
      <c r="F1370" s="44"/>
      <c r="G1370" s="44"/>
      <c r="H1370" s="44"/>
      <c r="I1370" s="44"/>
      <c r="J1370" s="76"/>
    </row>
    <row r="1371" ht="20.25" customHeight="1">
      <c r="A1371" s="44"/>
      <c r="B1371" s="44"/>
      <c r="C1371" s="44"/>
      <c r="D1371" s="44"/>
      <c r="E1371" s="44"/>
      <c r="F1371" s="44"/>
      <c r="G1371" s="44"/>
      <c r="H1371" s="44"/>
      <c r="I1371" s="44"/>
      <c r="J1371" s="76"/>
    </row>
    <row r="1372" ht="20.25" customHeight="1">
      <c r="A1372" s="44"/>
      <c r="B1372" s="44"/>
      <c r="C1372" s="44"/>
      <c r="D1372" s="44"/>
      <c r="E1372" s="44"/>
      <c r="F1372" s="44"/>
      <c r="G1372" s="44"/>
      <c r="H1372" s="44"/>
      <c r="I1372" s="44"/>
      <c r="J1372" s="76"/>
    </row>
    <row r="1373" ht="20.25" customHeight="1">
      <c r="A1373" s="44"/>
      <c r="B1373" s="44"/>
      <c r="C1373" s="44"/>
      <c r="D1373" s="44"/>
      <c r="E1373" s="44"/>
      <c r="F1373" s="44"/>
      <c r="G1373" s="44"/>
      <c r="H1373" s="44"/>
      <c r="I1373" s="44"/>
      <c r="J1373" s="76"/>
    </row>
    <row r="1374" ht="20.25" customHeight="1">
      <c r="A1374" s="44"/>
      <c r="B1374" s="44"/>
      <c r="C1374" s="44"/>
      <c r="D1374" s="44"/>
      <c r="E1374" s="44"/>
      <c r="F1374" s="44"/>
      <c r="G1374" s="44"/>
      <c r="H1374" s="44"/>
      <c r="I1374" s="44"/>
      <c r="J1374" s="76"/>
    </row>
    <row r="1375" ht="20.25" customHeight="1">
      <c r="A1375" s="44"/>
      <c r="B1375" s="44"/>
      <c r="C1375" s="44"/>
      <c r="D1375" s="44"/>
      <c r="E1375" s="44"/>
      <c r="F1375" s="44"/>
      <c r="G1375" s="44"/>
      <c r="H1375" s="44"/>
      <c r="I1375" s="44"/>
      <c r="J1375" s="76"/>
    </row>
    <row r="1376" ht="20.25" customHeight="1">
      <c r="A1376" s="44"/>
      <c r="B1376" s="44"/>
      <c r="C1376" s="44"/>
      <c r="D1376" s="44"/>
      <c r="E1376" s="44"/>
      <c r="F1376" s="44"/>
      <c r="G1376" s="44"/>
      <c r="H1376" s="44"/>
      <c r="I1376" s="44"/>
      <c r="J1376" s="76"/>
    </row>
    <row r="1377" ht="20.25" customHeight="1">
      <c r="A1377" s="44"/>
      <c r="B1377" s="44"/>
      <c r="C1377" s="44"/>
      <c r="D1377" s="44"/>
      <c r="E1377" s="44"/>
      <c r="F1377" s="44"/>
      <c r="G1377" s="44"/>
      <c r="H1377" s="44"/>
      <c r="I1377" s="44"/>
      <c r="J1377" s="76"/>
    </row>
    <row r="1378" ht="20.25" customHeight="1">
      <c r="A1378" s="44"/>
      <c r="B1378" s="44"/>
      <c r="C1378" s="44"/>
      <c r="D1378" s="44"/>
      <c r="E1378" s="44"/>
      <c r="F1378" s="44"/>
      <c r="G1378" s="44"/>
      <c r="H1378" s="44"/>
      <c r="I1378" s="44"/>
      <c r="J1378" s="76"/>
    </row>
    <row r="1379" ht="20.25" customHeight="1">
      <c r="A1379" s="44"/>
      <c r="B1379" s="44"/>
      <c r="C1379" s="44"/>
      <c r="D1379" s="44"/>
      <c r="E1379" s="44"/>
      <c r="F1379" s="44"/>
      <c r="G1379" s="44"/>
      <c r="H1379" s="44"/>
      <c r="I1379" s="44"/>
      <c r="J1379" s="76"/>
    </row>
    <row r="1380" ht="20.25" customHeight="1">
      <c r="A1380" s="44"/>
      <c r="B1380" s="44"/>
      <c r="C1380" s="44"/>
      <c r="D1380" s="44"/>
      <c r="E1380" s="44"/>
      <c r="F1380" s="44"/>
      <c r="G1380" s="44"/>
      <c r="H1380" s="44"/>
      <c r="I1380" s="44"/>
      <c r="J1380" s="76"/>
    </row>
    <row r="1381" ht="20.25" customHeight="1">
      <c r="A1381" s="44"/>
      <c r="B1381" s="44"/>
      <c r="C1381" s="44"/>
      <c r="D1381" s="44"/>
      <c r="E1381" s="44"/>
      <c r="F1381" s="44"/>
      <c r="G1381" s="44"/>
      <c r="H1381" s="44"/>
      <c r="I1381" s="44"/>
      <c r="J1381" s="76"/>
    </row>
    <row r="1382" ht="20.25" customHeight="1">
      <c r="A1382" s="44"/>
      <c r="B1382" s="44"/>
      <c r="C1382" s="44"/>
      <c r="D1382" s="44"/>
      <c r="E1382" s="44"/>
      <c r="F1382" s="44"/>
      <c r="G1382" s="44"/>
      <c r="H1382" s="44"/>
      <c r="I1382" s="44"/>
      <c r="J1382" s="76"/>
    </row>
    <row r="1383" ht="20.25" customHeight="1">
      <c r="A1383" s="44"/>
      <c r="B1383" s="44"/>
      <c r="C1383" s="44"/>
      <c r="D1383" s="44"/>
      <c r="E1383" s="44"/>
      <c r="F1383" s="44"/>
      <c r="G1383" s="44"/>
      <c r="H1383" s="44"/>
      <c r="I1383" s="44"/>
      <c r="J1383" s="76"/>
    </row>
    <row r="1384" ht="20.25" customHeight="1">
      <c r="A1384" s="44"/>
      <c r="B1384" s="44"/>
      <c r="C1384" s="44"/>
      <c r="D1384" s="44"/>
      <c r="E1384" s="44"/>
      <c r="F1384" s="44"/>
      <c r="G1384" s="44"/>
      <c r="H1384" s="44"/>
      <c r="I1384" s="44"/>
      <c r="J1384" s="76"/>
    </row>
    <row r="1385" ht="20.25" customHeight="1">
      <c r="A1385" s="44"/>
      <c r="B1385" s="44"/>
      <c r="C1385" s="44"/>
      <c r="D1385" s="44"/>
      <c r="E1385" s="44"/>
      <c r="F1385" s="44"/>
      <c r="G1385" s="44"/>
      <c r="H1385" s="44"/>
      <c r="I1385" s="44"/>
      <c r="J1385" s="76"/>
    </row>
    <row r="1386" ht="20.25" customHeight="1">
      <c r="A1386" s="44"/>
      <c r="B1386" s="44"/>
      <c r="C1386" s="44"/>
      <c r="D1386" s="44"/>
      <c r="E1386" s="44"/>
      <c r="F1386" s="44"/>
      <c r="G1386" s="44"/>
      <c r="H1386" s="44"/>
      <c r="I1386" s="44"/>
      <c r="J1386" s="76"/>
    </row>
    <row r="1387" ht="20.25" customHeight="1">
      <c r="A1387" s="44"/>
      <c r="B1387" s="44"/>
      <c r="C1387" s="44"/>
      <c r="D1387" s="44"/>
      <c r="E1387" s="44"/>
      <c r="F1387" s="44"/>
      <c r="G1387" s="44"/>
      <c r="H1387" s="44"/>
      <c r="I1387" s="44"/>
      <c r="J1387" s="76"/>
    </row>
    <row r="1388" ht="20.25" customHeight="1">
      <c r="A1388" s="44"/>
      <c r="B1388" s="44"/>
      <c r="C1388" s="44"/>
      <c r="D1388" s="44"/>
      <c r="E1388" s="44"/>
      <c r="F1388" s="44"/>
      <c r="G1388" s="44"/>
      <c r="H1388" s="44"/>
      <c r="I1388" s="44"/>
      <c r="J1388" s="76"/>
    </row>
    <row r="1389" ht="20.25" customHeight="1">
      <c r="A1389" s="44"/>
      <c r="B1389" s="44"/>
      <c r="C1389" s="44"/>
      <c r="D1389" s="44"/>
      <c r="E1389" s="44"/>
      <c r="F1389" s="44"/>
      <c r="G1389" s="44"/>
      <c r="H1389" s="44"/>
      <c r="I1389" s="44"/>
      <c r="J1389" s="76"/>
    </row>
    <row r="1390" ht="20.25" customHeight="1">
      <c r="A1390" s="44"/>
      <c r="B1390" s="44"/>
      <c r="C1390" s="44"/>
      <c r="D1390" s="44"/>
      <c r="E1390" s="44"/>
      <c r="F1390" s="44"/>
      <c r="G1390" s="44"/>
      <c r="H1390" s="44"/>
      <c r="I1390" s="44"/>
      <c r="J1390" s="76"/>
    </row>
    <row r="1391" ht="20.25" customHeight="1">
      <c r="A1391" s="44"/>
      <c r="B1391" s="44"/>
      <c r="C1391" s="44"/>
      <c r="D1391" s="44"/>
      <c r="E1391" s="44"/>
      <c r="F1391" s="44"/>
      <c r="G1391" s="44"/>
      <c r="H1391" s="44"/>
      <c r="I1391" s="44"/>
      <c r="J1391" s="76"/>
    </row>
    <row r="1392" ht="20.25" customHeight="1">
      <c r="A1392" s="44"/>
      <c r="B1392" s="44"/>
      <c r="C1392" s="44"/>
      <c r="D1392" s="44"/>
      <c r="E1392" s="44"/>
      <c r="F1392" s="44"/>
      <c r="G1392" s="44"/>
      <c r="H1392" s="44"/>
      <c r="I1392" s="44"/>
      <c r="J1392" s="76"/>
    </row>
    <row r="1393" ht="20.25" customHeight="1">
      <c r="A1393" s="44"/>
      <c r="B1393" s="44"/>
      <c r="C1393" s="44"/>
      <c r="D1393" s="44"/>
      <c r="E1393" s="44"/>
      <c r="F1393" s="44"/>
      <c r="G1393" s="44"/>
      <c r="H1393" s="44"/>
      <c r="I1393" s="44"/>
      <c r="J1393" s="76"/>
    </row>
    <row r="1394" ht="20.25" customHeight="1">
      <c r="A1394" s="44"/>
      <c r="B1394" s="44"/>
      <c r="C1394" s="44"/>
      <c r="D1394" s="44"/>
      <c r="E1394" s="44"/>
      <c r="F1394" s="44"/>
      <c r="G1394" s="44"/>
      <c r="H1394" s="44"/>
      <c r="I1394" s="44"/>
      <c r="J1394" s="76"/>
    </row>
    <row r="1395" ht="20.25" customHeight="1">
      <c r="A1395" s="44"/>
      <c r="B1395" s="44"/>
      <c r="C1395" s="44"/>
      <c r="D1395" s="44"/>
      <c r="E1395" s="44"/>
      <c r="F1395" s="44"/>
      <c r="G1395" s="44"/>
      <c r="H1395" s="44"/>
      <c r="I1395" s="44"/>
      <c r="J1395" s="76"/>
    </row>
    <row r="1396" ht="20.25" customHeight="1">
      <c r="A1396" s="44"/>
      <c r="B1396" s="44"/>
      <c r="C1396" s="44"/>
      <c r="D1396" s="44"/>
      <c r="E1396" s="44"/>
      <c r="F1396" s="44"/>
      <c r="G1396" s="44"/>
      <c r="H1396" s="44"/>
      <c r="I1396" s="44"/>
      <c r="J1396" s="76"/>
    </row>
    <row r="1397" ht="20.25" customHeight="1">
      <c r="A1397" s="44"/>
      <c r="B1397" s="44"/>
      <c r="C1397" s="44"/>
      <c r="D1397" s="44"/>
      <c r="E1397" s="44"/>
      <c r="F1397" s="44"/>
      <c r="G1397" s="44"/>
      <c r="H1397" s="44"/>
      <c r="I1397" s="44"/>
      <c r="J1397" s="76"/>
    </row>
    <row r="1398" ht="20.25" customHeight="1">
      <c r="A1398" s="44"/>
      <c r="B1398" s="44"/>
      <c r="C1398" s="44"/>
      <c r="D1398" s="44"/>
      <c r="E1398" s="44"/>
      <c r="F1398" s="44"/>
      <c r="G1398" s="44"/>
      <c r="H1398" s="44"/>
      <c r="I1398" s="44"/>
      <c r="J1398" s="76"/>
    </row>
    <row r="1399" ht="20.25" customHeight="1">
      <c r="A1399" s="44"/>
      <c r="B1399" s="44"/>
      <c r="C1399" s="44"/>
      <c r="D1399" s="44"/>
      <c r="E1399" s="44"/>
      <c r="F1399" s="44"/>
      <c r="G1399" s="44"/>
      <c r="H1399" s="44"/>
      <c r="I1399" s="44"/>
      <c r="J1399" s="76"/>
    </row>
    <row r="1400" ht="20.25" customHeight="1">
      <c r="A1400" s="44"/>
      <c r="B1400" s="44"/>
      <c r="C1400" s="44"/>
      <c r="D1400" s="44"/>
      <c r="E1400" s="44"/>
      <c r="F1400" s="44"/>
      <c r="G1400" s="44"/>
      <c r="H1400" s="44"/>
      <c r="I1400" s="44"/>
      <c r="J1400" s="76"/>
    </row>
    <row r="1401" ht="20.25" customHeight="1">
      <c r="A1401" s="44"/>
      <c r="B1401" s="44"/>
      <c r="C1401" s="44"/>
      <c r="D1401" s="44"/>
      <c r="E1401" s="44"/>
      <c r="F1401" s="44"/>
      <c r="G1401" s="44"/>
      <c r="H1401" s="44"/>
      <c r="I1401" s="44"/>
      <c r="J1401" s="76"/>
    </row>
    <row r="1402" ht="20.25" customHeight="1">
      <c r="A1402" s="44"/>
      <c r="B1402" s="44"/>
      <c r="C1402" s="44"/>
      <c r="D1402" s="44"/>
      <c r="E1402" s="44"/>
      <c r="F1402" s="44"/>
      <c r="G1402" s="44"/>
      <c r="H1402" s="44"/>
      <c r="I1402" s="44"/>
      <c r="J1402" s="76"/>
    </row>
    <row r="1403" ht="20.25" customHeight="1">
      <c r="A1403" s="44"/>
      <c r="B1403" s="44"/>
      <c r="C1403" s="44"/>
      <c r="D1403" s="44"/>
      <c r="E1403" s="44"/>
      <c r="F1403" s="44"/>
      <c r="G1403" s="44"/>
      <c r="H1403" s="44"/>
      <c r="I1403" s="44"/>
      <c r="J1403" s="76"/>
    </row>
    <row r="1404" ht="20.25" customHeight="1">
      <c r="A1404" s="44"/>
      <c r="B1404" s="44"/>
      <c r="C1404" s="44"/>
      <c r="D1404" s="44"/>
      <c r="E1404" s="44"/>
      <c r="F1404" s="44"/>
      <c r="G1404" s="44"/>
      <c r="H1404" s="44"/>
      <c r="I1404" s="44"/>
      <c r="J1404" s="76"/>
    </row>
    <row r="1405" ht="20.25" customHeight="1">
      <c r="A1405" s="44"/>
      <c r="B1405" s="44"/>
      <c r="C1405" s="44"/>
      <c r="D1405" s="44"/>
      <c r="E1405" s="44"/>
      <c r="F1405" s="44"/>
      <c r="G1405" s="44"/>
      <c r="H1405" s="44"/>
      <c r="I1405" s="44"/>
      <c r="J1405" s="76"/>
    </row>
    <row r="1406" ht="20.25" customHeight="1">
      <c r="A1406" s="44"/>
      <c r="B1406" s="44"/>
      <c r="C1406" s="44"/>
      <c r="D1406" s="44"/>
      <c r="E1406" s="44"/>
      <c r="F1406" s="44"/>
      <c r="G1406" s="44"/>
      <c r="H1406" s="44"/>
      <c r="I1406" s="44"/>
      <c r="J1406" s="76"/>
    </row>
    <row r="1407" ht="20.25" customHeight="1">
      <c r="A1407" s="44"/>
      <c r="B1407" s="44"/>
      <c r="C1407" s="44"/>
      <c r="D1407" s="44"/>
      <c r="E1407" s="44"/>
      <c r="F1407" s="44"/>
      <c r="G1407" s="44"/>
      <c r="H1407" s="44"/>
      <c r="I1407" s="44"/>
      <c r="J1407" s="76"/>
    </row>
    <row r="1408" ht="20.25" customHeight="1">
      <c r="A1408" s="44"/>
      <c r="B1408" s="44"/>
      <c r="C1408" s="44"/>
      <c r="D1408" s="44"/>
      <c r="E1408" s="44"/>
      <c r="F1408" s="44"/>
      <c r="G1408" s="44"/>
      <c r="H1408" s="44"/>
      <c r="I1408" s="44"/>
      <c r="J1408" s="76"/>
    </row>
    <row r="1409" ht="20.25" customHeight="1">
      <c r="A1409" s="44"/>
      <c r="B1409" s="44"/>
      <c r="C1409" s="44"/>
      <c r="D1409" s="44"/>
      <c r="E1409" s="44"/>
      <c r="F1409" s="44"/>
      <c r="G1409" s="44"/>
      <c r="H1409" s="44"/>
      <c r="I1409" s="44"/>
      <c r="J1409" s="76"/>
    </row>
    <row r="1410" ht="20.25" customHeight="1">
      <c r="A1410" s="44"/>
      <c r="B1410" s="44"/>
      <c r="C1410" s="44"/>
      <c r="D1410" s="44"/>
      <c r="E1410" s="44"/>
      <c r="F1410" s="44"/>
      <c r="G1410" s="44"/>
      <c r="H1410" s="44"/>
      <c r="I1410" s="44"/>
      <c r="J1410" s="76"/>
    </row>
    <row r="1411" ht="20.25" customHeight="1">
      <c r="A1411" s="44"/>
      <c r="B1411" s="44"/>
      <c r="C1411" s="44"/>
      <c r="D1411" s="44"/>
      <c r="E1411" s="44"/>
      <c r="F1411" s="44"/>
      <c r="G1411" s="44"/>
      <c r="H1411" s="44"/>
      <c r="I1411" s="44"/>
      <c r="J1411" s="76"/>
    </row>
    <row r="1412" ht="20.25" customHeight="1">
      <c r="A1412" s="44"/>
      <c r="B1412" s="44"/>
      <c r="C1412" s="44"/>
      <c r="D1412" s="44"/>
      <c r="E1412" s="44"/>
      <c r="F1412" s="44"/>
      <c r="G1412" s="44"/>
      <c r="H1412" s="44"/>
      <c r="I1412" s="44"/>
      <c r="J1412" s="76"/>
    </row>
    <row r="1413" ht="20.25" customHeight="1">
      <c r="A1413" s="44"/>
      <c r="B1413" s="44"/>
      <c r="C1413" s="44"/>
      <c r="D1413" s="44"/>
      <c r="E1413" s="44"/>
      <c r="F1413" s="44"/>
      <c r="G1413" s="44"/>
      <c r="H1413" s="44"/>
      <c r="I1413" s="44"/>
      <c r="J1413" s="76"/>
    </row>
    <row r="1414" ht="20.25" customHeight="1">
      <c r="A1414" s="44"/>
      <c r="B1414" s="44"/>
      <c r="C1414" s="44"/>
      <c r="D1414" s="44"/>
      <c r="E1414" s="44"/>
      <c r="F1414" s="44"/>
      <c r="G1414" s="44"/>
      <c r="H1414" s="44"/>
      <c r="I1414" s="44"/>
      <c r="J1414" s="76"/>
    </row>
    <row r="1415" ht="20.25" customHeight="1">
      <c r="A1415" s="44"/>
      <c r="B1415" s="44"/>
      <c r="C1415" s="44"/>
      <c r="D1415" s="44"/>
      <c r="E1415" s="44"/>
      <c r="F1415" s="44"/>
      <c r="G1415" s="44"/>
      <c r="H1415" s="44"/>
      <c r="I1415" s="44"/>
      <c r="J1415" s="76"/>
    </row>
    <row r="1416" ht="20.25" customHeight="1">
      <c r="A1416" s="44"/>
      <c r="B1416" s="44"/>
      <c r="C1416" s="44"/>
      <c r="D1416" s="44"/>
      <c r="E1416" s="44"/>
      <c r="F1416" s="44"/>
      <c r="G1416" s="44"/>
      <c r="H1416" s="44"/>
      <c r="I1416" s="44"/>
      <c r="J1416" s="76"/>
    </row>
    <row r="1417" ht="20.25" customHeight="1">
      <c r="A1417" s="44"/>
      <c r="B1417" s="44"/>
      <c r="C1417" s="44"/>
      <c r="D1417" s="44"/>
      <c r="E1417" s="44"/>
      <c r="F1417" s="44"/>
      <c r="G1417" s="44"/>
      <c r="H1417" s="44"/>
      <c r="I1417" s="44"/>
      <c r="J1417" s="76"/>
    </row>
    <row r="1418" ht="20.25" customHeight="1">
      <c r="A1418" s="44"/>
      <c r="B1418" s="44"/>
      <c r="C1418" s="44"/>
      <c r="D1418" s="44"/>
      <c r="E1418" s="44"/>
      <c r="F1418" s="44"/>
      <c r="G1418" s="44"/>
      <c r="H1418" s="44"/>
      <c r="I1418" s="44"/>
      <c r="J1418" s="76"/>
    </row>
    <row r="1419" ht="20.25" customHeight="1">
      <c r="A1419" s="44"/>
      <c r="B1419" s="44"/>
      <c r="C1419" s="44"/>
      <c r="D1419" s="44"/>
      <c r="E1419" s="44"/>
      <c r="F1419" s="44"/>
      <c r="G1419" s="44"/>
      <c r="H1419" s="44"/>
      <c r="I1419" s="44"/>
      <c r="J1419" s="76"/>
    </row>
    <row r="1420" ht="20.25" customHeight="1">
      <c r="A1420" s="44"/>
      <c r="B1420" s="44"/>
      <c r="C1420" s="44"/>
      <c r="D1420" s="44"/>
      <c r="E1420" s="44"/>
      <c r="F1420" s="44"/>
      <c r="G1420" s="44"/>
      <c r="H1420" s="44"/>
      <c r="I1420" s="44"/>
      <c r="J1420" s="76"/>
    </row>
    <row r="1421" ht="20.25" customHeight="1">
      <c r="A1421" s="44"/>
      <c r="B1421" s="44"/>
      <c r="C1421" s="44"/>
      <c r="D1421" s="44"/>
      <c r="E1421" s="44"/>
      <c r="F1421" s="44"/>
      <c r="G1421" s="44"/>
      <c r="H1421" s="44"/>
      <c r="I1421" s="44"/>
      <c r="J1421" s="76"/>
    </row>
    <row r="1422" ht="20.25" customHeight="1">
      <c r="A1422" s="44"/>
      <c r="B1422" s="44"/>
      <c r="C1422" s="44"/>
      <c r="D1422" s="44"/>
      <c r="E1422" s="44"/>
      <c r="F1422" s="44"/>
      <c r="G1422" s="44"/>
      <c r="H1422" s="44"/>
      <c r="I1422" s="44"/>
      <c r="J1422" s="76"/>
    </row>
    <row r="1423" ht="20.25" customHeight="1">
      <c r="A1423" s="44"/>
      <c r="B1423" s="44"/>
      <c r="C1423" s="44"/>
      <c r="D1423" s="44"/>
      <c r="E1423" s="44"/>
      <c r="F1423" s="44"/>
      <c r="G1423" s="44"/>
      <c r="H1423" s="44"/>
      <c r="I1423" s="44"/>
      <c r="J1423" s="76"/>
    </row>
    <row r="1424" ht="20.25" customHeight="1">
      <c r="A1424" s="44"/>
      <c r="B1424" s="44"/>
      <c r="C1424" s="44"/>
      <c r="D1424" s="44"/>
      <c r="E1424" s="44"/>
      <c r="F1424" s="44"/>
      <c r="G1424" s="44"/>
      <c r="H1424" s="44"/>
      <c r="I1424" s="44"/>
      <c r="J1424" s="76"/>
    </row>
    <row r="1425" ht="20.25" customHeight="1">
      <c r="A1425" s="44"/>
      <c r="B1425" s="44"/>
      <c r="C1425" s="44"/>
      <c r="D1425" s="44"/>
      <c r="E1425" s="44"/>
      <c r="F1425" s="44"/>
      <c r="G1425" s="44"/>
      <c r="H1425" s="44"/>
      <c r="I1425" s="44"/>
      <c r="J1425" s="76"/>
    </row>
    <row r="1426" ht="20.25" customHeight="1">
      <c r="A1426" s="44"/>
      <c r="B1426" s="44"/>
      <c r="C1426" s="44"/>
      <c r="D1426" s="44"/>
      <c r="E1426" s="44"/>
      <c r="F1426" s="44"/>
      <c r="G1426" s="44"/>
      <c r="H1426" s="44"/>
      <c r="I1426" s="44"/>
      <c r="J1426" s="76"/>
    </row>
    <row r="1427" ht="20.25" customHeight="1">
      <c r="A1427" s="44"/>
      <c r="B1427" s="44"/>
      <c r="C1427" s="44"/>
      <c r="D1427" s="44"/>
      <c r="E1427" s="44"/>
      <c r="F1427" s="44"/>
      <c r="G1427" s="44"/>
      <c r="H1427" s="44"/>
      <c r="I1427" s="44"/>
      <c r="J1427" s="76"/>
    </row>
    <row r="1428" ht="20.25" customHeight="1">
      <c r="A1428" s="44"/>
      <c r="B1428" s="44"/>
      <c r="C1428" s="44"/>
      <c r="D1428" s="44"/>
      <c r="E1428" s="44"/>
      <c r="F1428" s="44"/>
      <c r="G1428" s="44"/>
      <c r="H1428" s="44"/>
      <c r="I1428" s="44"/>
      <c r="J1428" s="76"/>
    </row>
    <row r="1429" ht="20.25" customHeight="1">
      <c r="A1429" s="44"/>
      <c r="B1429" s="44"/>
      <c r="C1429" s="44"/>
      <c r="D1429" s="44"/>
      <c r="E1429" s="44"/>
      <c r="F1429" s="44"/>
      <c r="G1429" s="44"/>
      <c r="H1429" s="44"/>
      <c r="I1429" s="44"/>
      <c r="J1429" s="76"/>
    </row>
    <row r="1430" ht="20.25" customHeight="1">
      <c r="A1430" s="44"/>
      <c r="B1430" s="44"/>
      <c r="C1430" s="44"/>
      <c r="D1430" s="44"/>
      <c r="E1430" s="44"/>
      <c r="F1430" s="44"/>
      <c r="G1430" s="44"/>
      <c r="H1430" s="44"/>
      <c r="I1430" s="44"/>
      <c r="J1430" s="76"/>
    </row>
    <row r="1431" ht="20.25" customHeight="1">
      <c r="A1431" s="44"/>
      <c r="B1431" s="44"/>
      <c r="C1431" s="44"/>
      <c r="D1431" s="44"/>
      <c r="E1431" s="44"/>
      <c r="F1431" s="44"/>
      <c r="G1431" s="44"/>
      <c r="H1431" s="44"/>
      <c r="I1431" s="44"/>
      <c r="J1431" s="76"/>
    </row>
    <row r="1432" ht="20.25" customHeight="1">
      <c r="A1432" s="44"/>
      <c r="B1432" s="44"/>
      <c r="C1432" s="44"/>
      <c r="D1432" s="44"/>
      <c r="E1432" s="44"/>
      <c r="F1432" s="44"/>
      <c r="G1432" s="44"/>
      <c r="H1432" s="44"/>
      <c r="I1432" s="44"/>
      <c r="J1432" s="76"/>
    </row>
    <row r="1433" ht="20.25" customHeight="1">
      <c r="A1433" s="44"/>
      <c r="B1433" s="44"/>
      <c r="C1433" s="44"/>
      <c r="D1433" s="44"/>
      <c r="E1433" s="44"/>
      <c r="F1433" s="44"/>
      <c r="G1433" s="44"/>
      <c r="H1433" s="44"/>
      <c r="I1433" s="44"/>
      <c r="J1433" s="76"/>
    </row>
    <row r="1434" ht="20.25" customHeight="1">
      <c r="A1434" s="44"/>
      <c r="B1434" s="44"/>
      <c r="C1434" s="44"/>
      <c r="D1434" s="44"/>
      <c r="E1434" s="44"/>
      <c r="F1434" s="44"/>
      <c r="G1434" s="44"/>
      <c r="H1434" s="44"/>
      <c r="I1434" s="44"/>
      <c r="J1434" s="76"/>
    </row>
    <row r="1435" ht="20.25" customHeight="1">
      <c r="A1435" s="44"/>
      <c r="B1435" s="44"/>
      <c r="C1435" s="44"/>
      <c r="D1435" s="44"/>
      <c r="E1435" s="44"/>
      <c r="F1435" s="44"/>
      <c r="G1435" s="44"/>
      <c r="H1435" s="44"/>
      <c r="I1435" s="44"/>
      <c r="J1435" s="76"/>
    </row>
    <row r="1436" ht="20.25" customHeight="1">
      <c r="A1436" s="44"/>
      <c r="B1436" s="44"/>
      <c r="C1436" s="44"/>
      <c r="D1436" s="44"/>
      <c r="E1436" s="44"/>
      <c r="F1436" s="44"/>
      <c r="G1436" s="44"/>
      <c r="H1436" s="44"/>
      <c r="I1436" s="44"/>
      <c r="J1436" s="76"/>
    </row>
    <row r="1437" ht="20.25" customHeight="1">
      <c r="A1437" s="44"/>
      <c r="B1437" s="44"/>
      <c r="C1437" s="44"/>
      <c r="D1437" s="44"/>
      <c r="E1437" s="44"/>
      <c r="F1437" s="44"/>
      <c r="G1437" s="44"/>
      <c r="H1437" s="44"/>
      <c r="I1437" s="44"/>
      <c r="J1437" s="76"/>
    </row>
    <row r="1438" ht="20.25" customHeight="1">
      <c r="A1438" s="44"/>
      <c r="B1438" s="44"/>
      <c r="C1438" s="44"/>
      <c r="D1438" s="44"/>
      <c r="E1438" s="44"/>
      <c r="F1438" s="44"/>
      <c r="G1438" s="44"/>
      <c r="H1438" s="44"/>
      <c r="I1438" s="44"/>
      <c r="J1438" s="76"/>
    </row>
    <row r="1439" ht="20.25" customHeight="1">
      <c r="A1439" s="44"/>
      <c r="B1439" s="44"/>
      <c r="C1439" s="44"/>
      <c r="D1439" s="44"/>
      <c r="E1439" s="44"/>
      <c r="F1439" s="44"/>
      <c r="G1439" s="44"/>
      <c r="H1439" s="44"/>
      <c r="I1439" s="44"/>
      <c r="J1439" s="76"/>
    </row>
    <row r="1440" ht="20.25" customHeight="1">
      <c r="A1440" s="44"/>
      <c r="B1440" s="44"/>
      <c r="C1440" s="44"/>
      <c r="D1440" s="44"/>
      <c r="E1440" s="44"/>
      <c r="F1440" s="44"/>
      <c r="G1440" s="44"/>
      <c r="H1440" s="44"/>
      <c r="I1440" s="44"/>
      <c r="J1440" s="76"/>
    </row>
    <row r="1441" ht="20.25" customHeight="1">
      <c r="A1441" s="44"/>
      <c r="B1441" s="44"/>
      <c r="C1441" s="44"/>
      <c r="D1441" s="44"/>
      <c r="E1441" s="44"/>
      <c r="F1441" s="44"/>
      <c r="G1441" s="44"/>
      <c r="H1441" s="44"/>
      <c r="I1441" s="44"/>
      <c r="J1441" s="76"/>
    </row>
    <row r="1442" ht="20.25" customHeight="1">
      <c r="A1442" s="44"/>
      <c r="B1442" s="44"/>
      <c r="C1442" s="44"/>
      <c r="D1442" s="44"/>
      <c r="E1442" s="44"/>
      <c r="F1442" s="44"/>
      <c r="G1442" s="44"/>
      <c r="H1442" s="44"/>
      <c r="I1442" s="44"/>
      <c r="J1442" s="76"/>
    </row>
    <row r="1443" ht="20.25" customHeight="1">
      <c r="A1443" s="44"/>
      <c r="B1443" s="44"/>
      <c r="C1443" s="44"/>
      <c r="D1443" s="44"/>
      <c r="E1443" s="44"/>
      <c r="F1443" s="44"/>
      <c r="G1443" s="44"/>
      <c r="H1443" s="44"/>
      <c r="I1443" s="44"/>
      <c r="J1443" s="76"/>
    </row>
    <row r="1444" ht="20.25" customHeight="1">
      <c r="A1444" s="44"/>
      <c r="B1444" s="44"/>
      <c r="C1444" s="44"/>
      <c r="D1444" s="44"/>
      <c r="E1444" s="44"/>
      <c r="F1444" s="44"/>
      <c r="G1444" s="44"/>
      <c r="H1444" s="44"/>
      <c r="I1444" s="44"/>
      <c r="J1444" s="76"/>
    </row>
    <row r="1445" ht="20.25" customHeight="1">
      <c r="A1445" s="44"/>
      <c r="B1445" s="44"/>
      <c r="C1445" s="44"/>
      <c r="D1445" s="44"/>
      <c r="E1445" s="44"/>
      <c r="F1445" s="44"/>
      <c r="G1445" s="44"/>
      <c r="H1445" s="44"/>
      <c r="I1445" s="44"/>
      <c r="J1445" s="76"/>
    </row>
    <row r="1446" ht="20.25" customHeight="1">
      <c r="A1446" s="44"/>
      <c r="B1446" s="44"/>
      <c r="C1446" s="44"/>
      <c r="D1446" s="44"/>
      <c r="E1446" s="44"/>
      <c r="F1446" s="44"/>
      <c r="G1446" s="44"/>
      <c r="H1446" s="44"/>
      <c r="I1446" s="44"/>
      <c r="J1446" s="76"/>
    </row>
    <row r="1447" ht="20.25" customHeight="1">
      <c r="A1447" s="44"/>
      <c r="B1447" s="44"/>
      <c r="C1447" s="44"/>
      <c r="D1447" s="44"/>
      <c r="E1447" s="44"/>
      <c r="F1447" s="44"/>
      <c r="G1447" s="44"/>
      <c r="H1447" s="44"/>
      <c r="I1447" s="44"/>
      <c r="J1447" s="76"/>
    </row>
    <row r="1448" ht="20.25" customHeight="1">
      <c r="A1448" s="44"/>
      <c r="B1448" s="44"/>
      <c r="C1448" s="44"/>
      <c r="D1448" s="44"/>
      <c r="E1448" s="44"/>
      <c r="F1448" s="44"/>
      <c r="G1448" s="44"/>
      <c r="H1448" s="44"/>
      <c r="I1448" s="44"/>
      <c r="J1448" s="76"/>
    </row>
    <row r="1449" ht="20.25" customHeight="1">
      <c r="A1449" s="44"/>
      <c r="B1449" s="44"/>
      <c r="C1449" s="44"/>
      <c r="D1449" s="44"/>
      <c r="E1449" s="44"/>
      <c r="F1449" s="44"/>
      <c r="G1449" s="44"/>
      <c r="H1449" s="44"/>
      <c r="I1449" s="44"/>
      <c r="J1449" s="76"/>
    </row>
    <row r="1450" ht="20.25" customHeight="1">
      <c r="A1450" s="44"/>
      <c r="B1450" s="44"/>
      <c r="C1450" s="44"/>
      <c r="D1450" s="44"/>
      <c r="E1450" s="44"/>
      <c r="F1450" s="44"/>
      <c r="G1450" s="44"/>
      <c r="H1450" s="44"/>
      <c r="I1450" s="44"/>
      <c r="J1450" s="76"/>
    </row>
    <row r="1451" ht="20.25" customHeight="1">
      <c r="A1451" s="44"/>
      <c r="B1451" s="44"/>
      <c r="C1451" s="44"/>
      <c r="D1451" s="44"/>
      <c r="E1451" s="44"/>
      <c r="F1451" s="44"/>
      <c r="G1451" s="44"/>
      <c r="H1451" s="44"/>
      <c r="I1451" s="44"/>
      <c r="J1451" s="76"/>
    </row>
    <row r="1452" ht="20.25" customHeight="1">
      <c r="A1452" s="44"/>
      <c r="B1452" s="44"/>
      <c r="C1452" s="44"/>
      <c r="D1452" s="44"/>
      <c r="E1452" s="44"/>
      <c r="F1452" s="44"/>
      <c r="G1452" s="44"/>
      <c r="H1452" s="44"/>
      <c r="I1452" s="44"/>
      <c r="J1452" s="76"/>
    </row>
    <row r="1453" ht="20.25" customHeight="1">
      <c r="A1453" s="44"/>
      <c r="B1453" s="44"/>
      <c r="C1453" s="44"/>
      <c r="D1453" s="44"/>
      <c r="E1453" s="44"/>
      <c r="F1453" s="44"/>
      <c r="G1453" s="44"/>
      <c r="H1453" s="44"/>
      <c r="I1453" s="44"/>
      <c r="J1453" s="76"/>
    </row>
    <row r="1454" ht="20.25" customHeight="1">
      <c r="A1454" s="44"/>
      <c r="B1454" s="44"/>
      <c r="C1454" s="44"/>
      <c r="D1454" s="44"/>
      <c r="E1454" s="44"/>
      <c r="F1454" s="44"/>
      <c r="G1454" s="44"/>
      <c r="H1454" s="44"/>
      <c r="I1454" s="44"/>
      <c r="J1454" s="76"/>
    </row>
    <row r="1455" ht="20.25" customHeight="1">
      <c r="A1455" s="44"/>
      <c r="B1455" s="44"/>
      <c r="C1455" s="44"/>
      <c r="D1455" s="44"/>
      <c r="E1455" s="44"/>
      <c r="F1455" s="44"/>
      <c r="G1455" s="44"/>
      <c r="H1455" s="44"/>
      <c r="I1455" s="44"/>
      <c r="J1455" s="76"/>
    </row>
    <row r="1456" ht="20.25" customHeight="1">
      <c r="A1456" s="44"/>
      <c r="B1456" s="44"/>
      <c r="C1456" s="44"/>
      <c r="D1456" s="44"/>
      <c r="E1456" s="44"/>
      <c r="F1456" s="44"/>
      <c r="G1456" s="44"/>
      <c r="H1456" s="44"/>
      <c r="I1456" s="44"/>
      <c r="J1456" s="76"/>
    </row>
    <row r="1457" ht="20.25" customHeight="1">
      <c r="A1457" s="44"/>
      <c r="B1457" s="44"/>
      <c r="C1457" s="44"/>
      <c r="D1457" s="44"/>
      <c r="E1457" s="44"/>
      <c r="F1457" s="44"/>
      <c r="G1457" s="44"/>
      <c r="H1457" s="44"/>
      <c r="I1457" s="44"/>
      <c r="J1457" s="76"/>
    </row>
    <row r="1458" ht="20.25" customHeight="1">
      <c r="A1458" s="44"/>
      <c r="B1458" s="44"/>
      <c r="C1458" s="44"/>
      <c r="D1458" s="44"/>
      <c r="E1458" s="44"/>
      <c r="F1458" s="44"/>
      <c r="G1458" s="44"/>
      <c r="H1458" s="44"/>
      <c r="I1458" s="44"/>
      <c r="J1458" s="76"/>
    </row>
    <row r="1459" ht="20.25" customHeight="1">
      <c r="A1459" s="44"/>
      <c r="B1459" s="44"/>
      <c r="C1459" s="44"/>
      <c r="D1459" s="44"/>
      <c r="E1459" s="44"/>
      <c r="F1459" s="44"/>
      <c r="G1459" s="44"/>
      <c r="H1459" s="44"/>
      <c r="I1459" s="44"/>
      <c r="J1459" s="76"/>
    </row>
    <row r="1460" ht="20.25" customHeight="1">
      <c r="A1460" s="44"/>
      <c r="B1460" s="44"/>
      <c r="C1460" s="44"/>
      <c r="D1460" s="44"/>
      <c r="E1460" s="44"/>
      <c r="F1460" s="44"/>
      <c r="G1460" s="44"/>
      <c r="H1460" s="44"/>
      <c r="I1460" s="44"/>
      <c r="J1460" s="76"/>
    </row>
    <row r="1461" ht="20.25" customHeight="1">
      <c r="A1461" s="44"/>
      <c r="B1461" s="44"/>
      <c r="C1461" s="44"/>
      <c r="D1461" s="44"/>
      <c r="E1461" s="44"/>
      <c r="F1461" s="44"/>
      <c r="G1461" s="44"/>
      <c r="H1461" s="44"/>
      <c r="I1461" s="44"/>
      <c r="J1461" s="76"/>
    </row>
    <row r="1462" ht="20.25" customHeight="1">
      <c r="A1462" s="44"/>
      <c r="B1462" s="44"/>
      <c r="C1462" s="44"/>
      <c r="D1462" s="44"/>
      <c r="E1462" s="44"/>
      <c r="F1462" s="44"/>
      <c r="G1462" s="44"/>
      <c r="H1462" s="44"/>
      <c r="I1462" s="44"/>
      <c r="J1462" s="76"/>
    </row>
    <row r="1463" ht="20.25" customHeight="1">
      <c r="A1463" s="44"/>
      <c r="B1463" s="44"/>
      <c r="C1463" s="44"/>
      <c r="D1463" s="44"/>
      <c r="E1463" s="44"/>
      <c r="F1463" s="44"/>
      <c r="G1463" s="44"/>
      <c r="H1463" s="44"/>
      <c r="I1463" s="44"/>
      <c r="J1463" s="76"/>
    </row>
    <row r="1464" ht="20.25" customHeight="1">
      <c r="A1464" s="44"/>
      <c r="B1464" s="44"/>
      <c r="C1464" s="44"/>
      <c r="D1464" s="44"/>
      <c r="E1464" s="44"/>
      <c r="F1464" s="44"/>
      <c r="G1464" s="44"/>
      <c r="H1464" s="44"/>
      <c r="I1464" s="44"/>
      <c r="J1464" s="76"/>
    </row>
    <row r="1465" ht="20.25" customHeight="1">
      <c r="A1465" s="44"/>
      <c r="B1465" s="44"/>
      <c r="C1465" s="44"/>
      <c r="D1465" s="44"/>
      <c r="E1465" s="44"/>
      <c r="F1465" s="44"/>
      <c r="G1465" s="44"/>
      <c r="H1465" s="44"/>
      <c r="I1465" s="44"/>
      <c r="J1465" s="76"/>
    </row>
    <row r="1466" ht="20.25" customHeight="1">
      <c r="A1466" s="44"/>
      <c r="B1466" s="44"/>
      <c r="C1466" s="44"/>
      <c r="D1466" s="44"/>
      <c r="E1466" s="44"/>
      <c r="F1466" s="44"/>
      <c r="G1466" s="44"/>
      <c r="H1466" s="44"/>
      <c r="I1466" s="44"/>
      <c r="J1466" s="76"/>
    </row>
    <row r="1467" ht="20.25" customHeight="1">
      <c r="A1467" s="44"/>
      <c r="B1467" s="44"/>
      <c r="C1467" s="44"/>
      <c r="D1467" s="44"/>
      <c r="E1467" s="44"/>
      <c r="F1467" s="44"/>
      <c r="G1467" s="44"/>
      <c r="H1467" s="44"/>
      <c r="I1467" s="44"/>
      <c r="J1467" s="76"/>
    </row>
    <row r="1468" ht="20.25" customHeight="1">
      <c r="A1468" s="44"/>
      <c r="B1468" s="44"/>
      <c r="C1468" s="44"/>
      <c r="D1468" s="44"/>
      <c r="E1468" s="44"/>
      <c r="F1468" s="44"/>
      <c r="G1468" s="44"/>
      <c r="H1468" s="44"/>
      <c r="I1468" s="44"/>
      <c r="J1468" s="76"/>
    </row>
    <row r="1469" ht="20.25" customHeight="1">
      <c r="A1469" s="44"/>
      <c r="B1469" s="44"/>
      <c r="C1469" s="44"/>
      <c r="D1469" s="44"/>
      <c r="E1469" s="44"/>
      <c r="F1469" s="44"/>
      <c r="G1469" s="44"/>
      <c r="H1469" s="44"/>
      <c r="I1469" s="44"/>
      <c r="J1469" s="76"/>
    </row>
    <row r="1470" ht="20.25" customHeight="1">
      <c r="A1470" s="44"/>
      <c r="B1470" s="44"/>
      <c r="C1470" s="44"/>
      <c r="D1470" s="44"/>
      <c r="E1470" s="44"/>
      <c r="F1470" s="44"/>
      <c r="G1470" s="44"/>
      <c r="H1470" s="44"/>
      <c r="I1470" s="44"/>
      <c r="J1470" s="76"/>
    </row>
    <row r="1471" ht="20.25" customHeight="1">
      <c r="A1471" s="44"/>
      <c r="B1471" s="44"/>
      <c r="C1471" s="44"/>
      <c r="D1471" s="44"/>
      <c r="E1471" s="44"/>
      <c r="F1471" s="44"/>
      <c r="G1471" s="44"/>
      <c r="H1471" s="44"/>
      <c r="I1471" s="44"/>
      <c r="J1471" s="76"/>
    </row>
    <row r="1472" ht="20.25" customHeight="1">
      <c r="A1472" s="44"/>
      <c r="B1472" s="44"/>
      <c r="C1472" s="44"/>
      <c r="D1472" s="44"/>
      <c r="E1472" s="44"/>
      <c r="F1472" s="44"/>
      <c r="G1472" s="44"/>
      <c r="H1472" s="44"/>
      <c r="I1472" s="44"/>
      <c r="J1472" s="76"/>
    </row>
    <row r="1473" ht="20.25" customHeight="1">
      <c r="A1473" s="44"/>
      <c r="B1473" s="44"/>
      <c r="C1473" s="44"/>
      <c r="D1473" s="44"/>
      <c r="E1473" s="44"/>
      <c r="F1473" s="44"/>
      <c r="G1473" s="44"/>
      <c r="H1473" s="44"/>
      <c r="I1473" s="44"/>
      <c r="J1473" s="76"/>
    </row>
    <row r="1474" ht="20.25" customHeight="1">
      <c r="A1474" s="44"/>
      <c r="B1474" s="44"/>
      <c r="C1474" s="44"/>
      <c r="D1474" s="44"/>
      <c r="E1474" s="44"/>
      <c r="F1474" s="44"/>
      <c r="G1474" s="44"/>
      <c r="H1474" s="44"/>
      <c r="I1474" s="44"/>
      <c r="J1474" s="76"/>
    </row>
    <row r="1475" ht="20.25" customHeight="1">
      <c r="A1475" s="44"/>
      <c r="B1475" s="44"/>
      <c r="C1475" s="44"/>
      <c r="D1475" s="44"/>
      <c r="E1475" s="44"/>
      <c r="F1475" s="44"/>
      <c r="G1475" s="44"/>
      <c r="H1475" s="44"/>
      <c r="I1475" s="44"/>
      <c r="J1475" s="76"/>
    </row>
    <row r="1476" ht="20.25" customHeight="1">
      <c r="A1476" s="44"/>
      <c r="B1476" s="44"/>
      <c r="C1476" s="44"/>
      <c r="D1476" s="44"/>
      <c r="E1476" s="44"/>
      <c r="F1476" s="44"/>
      <c r="G1476" s="44"/>
      <c r="H1476" s="44"/>
      <c r="I1476" s="44"/>
      <c r="J1476" s="76"/>
    </row>
    <row r="1477" ht="20.25" customHeight="1">
      <c r="A1477" s="44"/>
      <c r="B1477" s="44"/>
      <c r="C1477" s="44"/>
      <c r="D1477" s="44"/>
      <c r="E1477" s="44"/>
      <c r="F1477" s="44"/>
      <c r="G1477" s="44"/>
      <c r="H1477" s="44"/>
      <c r="I1477" s="44"/>
      <c r="J1477" s="76"/>
    </row>
    <row r="1478" ht="20.25" customHeight="1">
      <c r="A1478" s="44"/>
      <c r="B1478" s="44"/>
      <c r="C1478" s="44"/>
      <c r="D1478" s="44"/>
      <c r="E1478" s="44"/>
      <c r="F1478" s="44"/>
      <c r="G1478" s="44"/>
      <c r="H1478" s="44"/>
      <c r="I1478" s="44"/>
      <c r="J1478" s="76"/>
    </row>
    <row r="1479" ht="20.25" customHeight="1">
      <c r="A1479" s="44"/>
      <c r="B1479" s="44"/>
      <c r="C1479" s="44"/>
      <c r="D1479" s="44"/>
      <c r="E1479" s="44"/>
      <c r="F1479" s="44"/>
      <c r="G1479" s="44"/>
      <c r="H1479" s="44"/>
      <c r="I1479" s="44"/>
      <c r="J1479" s="76"/>
    </row>
    <row r="1480" ht="20.25" customHeight="1">
      <c r="A1480" s="44"/>
      <c r="B1480" s="44"/>
      <c r="C1480" s="44"/>
      <c r="D1480" s="44"/>
      <c r="E1480" s="44"/>
      <c r="F1480" s="44"/>
      <c r="G1480" s="44"/>
      <c r="H1480" s="44"/>
      <c r="I1480" s="44"/>
      <c r="J1480" s="76"/>
    </row>
    <row r="1481" ht="20.25" customHeight="1">
      <c r="A1481" s="44"/>
      <c r="B1481" s="44"/>
      <c r="C1481" s="44"/>
      <c r="D1481" s="44"/>
      <c r="E1481" s="44"/>
      <c r="F1481" s="44"/>
      <c r="G1481" s="44"/>
      <c r="H1481" s="44"/>
      <c r="I1481" s="44"/>
      <c r="J1481" s="76"/>
    </row>
    <row r="1482" ht="20.25" customHeight="1">
      <c r="A1482" s="44"/>
      <c r="B1482" s="44"/>
      <c r="C1482" s="44"/>
      <c r="D1482" s="44"/>
      <c r="E1482" s="44"/>
      <c r="F1482" s="44"/>
      <c r="G1482" s="44"/>
      <c r="H1482" s="44"/>
      <c r="I1482" s="44"/>
      <c r="J1482" s="76"/>
    </row>
    <row r="1483" ht="20.25" customHeight="1">
      <c r="A1483" s="44"/>
      <c r="B1483" s="44"/>
      <c r="C1483" s="44"/>
      <c r="D1483" s="44"/>
      <c r="E1483" s="44"/>
      <c r="F1483" s="44"/>
      <c r="G1483" s="44"/>
      <c r="H1483" s="44"/>
      <c r="I1483" s="44"/>
      <c r="J1483" s="76"/>
    </row>
    <row r="1484" ht="20.25" customHeight="1">
      <c r="A1484" s="44"/>
      <c r="B1484" s="44"/>
      <c r="C1484" s="44"/>
      <c r="D1484" s="44"/>
      <c r="E1484" s="44"/>
      <c r="F1484" s="44"/>
      <c r="G1484" s="44"/>
      <c r="H1484" s="44"/>
      <c r="I1484" s="44"/>
      <c r="J1484" s="76"/>
    </row>
    <row r="1485" ht="20.25" customHeight="1">
      <c r="A1485" s="44"/>
      <c r="B1485" s="44"/>
      <c r="C1485" s="44"/>
      <c r="D1485" s="44"/>
      <c r="E1485" s="44"/>
      <c r="F1485" s="44"/>
      <c r="G1485" s="44"/>
      <c r="H1485" s="44"/>
      <c r="I1485" s="44"/>
      <c r="J1485" s="76"/>
    </row>
    <row r="1486" ht="20.25" customHeight="1">
      <c r="A1486" s="44"/>
      <c r="B1486" s="44"/>
      <c r="C1486" s="44"/>
      <c r="D1486" s="44"/>
      <c r="E1486" s="44"/>
      <c r="F1486" s="44"/>
      <c r="G1486" s="44"/>
      <c r="H1486" s="44"/>
      <c r="I1486" s="44"/>
      <c r="J1486" s="76"/>
    </row>
    <row r="1487" ht="20.25" customHeight="1">
      <c r="A1487" s="44"/>
      <c r="B1487" s="44"/>
      <c r="C1487" s="44"/>
      <c r="D1487" s="44"/>
      <c r="E1487" s="44"/>
      <c r="F1487" s="44"/>
      <c r="G1487" s="44"/>
      <c r="H1487" s="44"/>
      <c r="I1487" s="44"/>
      <c r="J1487" s="76"/>
    </row>
    <row r="1488" ht="20.25" customHeight="1">
      <c r="A1488" s="44"/>
      <c r="B1488" s="44"/>
      <c r="C1488" s="44"/>
      <c r="D1488" s="44"/>
      <c r="E1488" s="44"/>
      <c r="F1488" s="44"/>
      <c r="G1488" s="44"/>
      <c r="H1488" s="44"/>
      <c r="I1488" s="44"/>
      <c r="J1488" s="76"/>
    </row>
    <row r="1489" ht="20.25" customHeight="1">
      <c r="A1489" s="44"/>
      <c r="B1489" s="44"/>
      <c r="C1489" s="44"/>
      <c r="D1489" s="44"/>
      <c r="E1489" s="44"/>
      <c r="F1489" s="44"/>
      <c r="G1489" s="44"/>
      <c r="H1489" s="44"/>
      <c r="I1489" s="44"/>
      <c r="J1489" s="76"/>
    </row>
    <row r="1490" ht="20.25" customHeight="1">
      <c r="A1490" s="44"/>
      <c r="B1490" s="44"/>
      <c r="C1490" s="44"/>
      <c r="D1490" s="44"/>
      <c r="E1490" s="44"/>
      <c r="F1490" s="44"/>
      <c r="G1490" s="44"/>
      <c r="H1490" s="44"/>
      <c r="I1490" s="44"/>
      <c r="J1490" s="76"/>
    </row>
    <row r="1491" ht="20.25" customHeight="1">
      <c r="A1491" s="44"/>
      <c r="B1491" s="44"/>
      <c r="C1491" s="44"/>
      <c r="D1491" s="44"/>
      <c r="E1491" s="44"/>
      <c r="F1491" s="44"/>
      <c r="G1491" s="44"/>
      <c r="H1491" s="44"/>
      <c r="I1491" s="44"/>
      <c r="J1491" s="76"/>
    </row>
    <row r="1492" ht="20.25" customHeight="1">
      <c r="A1492" s="44"/>
      <c r="B1492" s="44"/>
      <c r="C1492" s="44"/>
      <c r="D1492" s="44"/>
      <c r="E1492" s="44"/>
      <c r="F1492" s="44"/>
      <c r="G1492" s="44"/>
      <c r="H1492" s="44"/>
      <c r="I1492" s="44"/>
      <c r="J1492" s="76"/>
    </row>
    <row r="1493" ht="20.25" customHeight="1">
      <c r="A1493" s="44"/>
      <c r="B1493" s="44"/>
      <c r="C1493" s="44"/>
      <c r="D1493" s="44"/>
      <c r="E1493" s="44"/>
      <c r="F1493" s="44"/>
      <c r="G1493" s="44"/>
      <c r="H1493" s="44"/>
      <c r="I1493" s="44"/>
      <c r="J1493" s="76"/>
    </row>
    <row r="1494" ht="20.25" customHeight="1">
      <c r="A1494" s="44"/>
      <c r="B1494" s="44"/>
      <c r="C1494" s="44"/>
      <c r="D1494" s="44"/>
      <c r="E1494" s="44"/>
      <c r="F1494" s="44"/>
      <c r="G1494" s="44"/>
      <c r="H1494" s="44"/>
      <c r="I1494" s="44"/>
      <c r="J1494" s="76"/>
    </row>
    <row r="1495" ht="20.25" customHeight="1">
      <c r="A1495" s="44"/>
      <c r="B1495" s="44"/>
      <c r="C1495" s="44"/>
      <c r="D1495" s="44"/>
      <c r="E1495" s="44"/>
      <c r="F1495" s="44"/>
      <c r="G1495" s="44"/>
      <c r="H1495" s="44"/>
      <c r="I1495" s="44"/>
      <c r="J1495" s="76"/>
    </row>
    <row r="1496" ht="20.25" customHeight="1">
      <c r="A1496" s="44"/>
      <c r="B1496" s="44"/>
      <c r="C1496" s="44"/>
      <c r="D1496" s="44"/>
      <c r="E1496" s="44"/>
      <c r="F1496" s="44"/>
      <c r="G1496" s="44"/>
      <c r="H1496" s="44"/>
      <c r="I1496" s="44"/>
      <c r="J1496" s="76"/>
    </row>
    <row r="1497" ht="20.25" customHeight="1">
      <c r="A1497" s="44"/>
      <c r="B1497" s="44"/>
      <c r="C1497" s="44"/>
      <c r="D1497" s="44"/>
      <c r="E1497" s="44"/>
      <c r="F1497" s="44"/>
      <c r="G1497" s="44"/>
      <c r="H1497" s="44"/>
      <c r="I1497" s="44"/>
      <c r="J1497" s="76"/>
    </row>
    <row r="1498" ht="20.25" customHeight="1">
      <c r="A1498" s="44"/>
      <c r="B1498" s="44"/>
      <c r="C1498" s="44"/>
      <c r="D1498" s="44"/>
      <c r="E1498" s="44"/>
      <c r="F1498" s="44"/>
      <c r="G1498" s="44"/>
      <c r="H1498" s="44"/>
      <c r="I1498" s="44"/>
      <c r="J1498" s="76"/>
    </row>
    <row r="1499" ht="20.25" customHeight="1">
      <c r="A1499" s="44"/>
      <c r="B1499" s="44"/>
      <c r="C1499" s="44"/>
      <c r="D1499" s="44"/>
      <c r="E1499" s="44"/>
      <c r="F1499" s="44"/>
      <c r="G1499" s="44"/>
      <c r="H1499" s="44"/>
      <c r="I1499" s="44"/>
      <c r="J1499" s="76"/>
    </row>
    <row r="1500" ht="20.25" customHeight="1">
      <c r="A1500" s="44"/>
      <c r="B1500" s="44"/>
      <c r="C1500" s="44"/>
      <c r="D1500" s="44"/>
      <c r="E1500" s="44"/>
      <c r="F1500" s="44"/>
      <c r="G1500" s="44"/>
      <c r="H1500" s="44"/>
      <c r="I1500" s="44"/>
      <c r="J1500" s="76"/>
    </row>
    <row r="1501" ht="20.25" customHeight="1">
      <c r="A1501" s="44"/>
      <c r="B1501" s="44"/>
      <c r="C1501" s="44"/>
      <c r="D1501" s="44"/>
      <c r="E1501" s="44"/>
      <c r="F1501" s="44"/>
      <c r="G1501" s="44"/>
      <c r="H1501" s="44"/>
      <c r="I1501" s="44"/>
      <c r="J1501" s="76"/>
    </row>
    <row r="1502" ht="20.25" customHeight="1">
      <c r="A1502" s="44"/>
      <c r="B1502" s="44"/>
      <c r="C1502" s="44"/>
      <c r="D1502" s="44"/>
      <c r="E1502" s="44"/>
      <c r="F1502" s="44"/>
      <c r="G1502" s="44"/>
      <c r="H1502" s="44"/>
      <c r="I1502" s="44"/>
      <c r="J1502" s="76"/>
    </row>
    <row r="1503" ht="20.25" customHeight="1">
      <c r="A1503" s="44"/>
      <c r="B1503" s="44"/>
      <c r="C1503" s="44"/>
      <c r="D1503" s="44"/>
      <c r="E1503" s="44"/>
      <c r="F1503" s="44"/>
      <c r="G1503" s="44"/>
      <c r="H1503" s="44"/>
      <c r="I1503" s="44"/>
      <c r="J1503" s="76"/>
    </row>
    <row r="1504" ht="20.25" customHeight="1">
      <c r="A1504" s="44"/>
      <c r="B1504" s="44"/>
      <c r="C1504" s="44"/>
      <c r="D1504" s="44"/>
      <c r="E1504" s="44"/>
      <c r="F1504" s="44"/>
      <c r="G1504" s="44"/>
      <c r="H1504" s="44"/>
      <c r="I1504" s="44"/>
      <c r="J1504" s="76"/>
    </row>
    <row r="1505" ht="20.25" customHeight="1">
      <c r="A1505" s="44"/>
      <c r="B1505" s="44"/>
      <c r="C1505" s="44"/>
      <c r="D1505" s="44"/>
      <c r="E1505" s="44"/>
      <c r="F1505" s="44"/>
      <c r="G1505" s="44"/>
      <c r="H1505" s="44"/>
      <c r="I1505" s="44"/>
      <c r="J1505" s="76"/>
    </row>
    <row r="1506" ht="20.25" customHeight="1">
      <c r="A1506" s="44"/>
      <c r="B1506" s="44"/>
      <c r="C1506" s="44"/>
      <c r="D1506" s="44"/>
      <c r="E1506" s="44"/>
      <c r="F1506" s="44"/>
      <c r="G1506" s="44"/>
      <c r="H1506" s="44"/>
      <c r="I1506" s="44"/>
      <c r="J1506" s="76"/>
    </row>
    <row r="1507" ht="20.25" customHeight="1">
      <c r="A1507" s="44"/>
      <c r="B1507" s="44"/>
      <c r="C1507" s="44"/>
      <c r="D1507" s="44"/>
      <c r="E1507" s="44"/>
      <c r="F1507" s="44"/>
      <c r="G1507" s="44"/>
      <c r="H1507" s="44"/>
      <c r="I1507" s="44"/>
      <c r="J1507" s="76"/>
    </row>
    <row r="1508" ht="20.25" customHeight="1">
      <c r="A1508" s="44"/>
      <c r="B1508" s="44"/>
      <c r="C1508" s="44"/>
      <c r="D1508" s="44"/>
      <c r="E1508" s="44"/>
      <c r="F1508" s="44"/>
      <c r="G1508" s="44"/>
      <c r="H1508" s="44"/>
      <c r="I1508" s="44"/>
      <c r="J1508" s="76"/>
    </row>
    <row r="1509" ht="20.25" customHeight="1">
      <c r="A1509" s="44"/>
      <c r="B1509" s="44"/>
      <c r="C1509" s="44"/>
      <c r="D1509" s="44"/>
      <c r="E1509" s="44"/>
      <c r="F1509" s="44"/>
      <c r="G1509" s="44"/>
      <c r="H1509" s="44"/>
      <c r="I1509" s="44"/>
      <c r="J1509" s="76"/>
    </row>
    <row r="1510" ht="20.25" customHeight="1">
      <c r="A1510" s="44"/>
      <c r="B1510" s="44"/>
      <c r="C1510" s="44"/>
      <c r="D1510" s="44"/>
      <c r="E1510" s="44"/>
      <c r="F1510" s="44"/>
      <c r="G1510" s="44"/>
      <c r="H1510" s="44"/>
      <c r="I1510" s="44"/>
      <c r="J1510" s="76"/>
    </row>
    <row r="1511" ht="20.25" customHeight="1">
      <c r="A1511" s="44"/>
      <c r="B1511" s="44"/>
      <c r="C1511" s="44"/>
      <c r="D1511" s="44"/>
      <c r="E1511" s="44"/>
      <c r="F1511" s="44"/>
      <c r="G1511" s="44"/>
      <c r="H1511" s="44"/>
      <c r="I1511" s="44"/>
      <c r="J1511" s="76"/>
    </row>
    <row r="1512" ht="20.25" customHeight="1">
      <c r="A1512" s="44"/>
      <c r="B1512" s="44"/>
      <c r="C1512" s="44"/>
      <c r="D1512" s="44"/>
      <c r="E1512" s="44"/>
      <c r="F1512" s="44"/>
      <c r="G1512" s="44"/>
      <c r="H1512" s="44"/>
      <c r="I1512" s="44"/>
      <c r="J1512" s="76"/>
    </row>
    <row r="1513" ht="20.25" customHeight="1">
      <c r="A1513" s="44"/>
      <c r="B1513" s="44"/>
      <c r="C1513" s="44"/>
      <c r="D1513" s="44"/>
      <c r="E1513" s="44"/>
      <c r="F1513" s="44"/>
      <c r="G1513" s="44"/>
      <c r="H1513" s="44"/>
      <c r="I1513" s="44"/>
      <c r="J1513" s="76"/>
    </row>
    <row r="1514" ht="20.25" customHeight="1">
      <c r="A1514" s="44"/>
      <c r="B1514" s="44"/>
      <c r="C1514" s="44"/>
      <c r="D1514" s="44"/>
      <c r="E1514" s="44"/>
      <c r="F1514" s="44"/>
      <c r="G1514" s="44"/>
      <c r="H1514" s="44"/>
      <c r="I1514" s="44"/>
      <c r="J1514" s="76"/>
    </row>
    <row r="1515" ht="20.25" customHeight="1">
      <c r="A1515" s="44"/>
      <c r="B1515" s="44"/>
      <c r="C1515" s="44"/>
      <c r="D1515" s="44"/>
      <c r="E1515" s="44"/>
      <c r="F1515" s="44"/>
      <c r="G1515" s="44"/>
      <c r="H1515" s="44"/>
      <c r="I1515" s="44"/>
      <c r="J1515" s="76"/>
    </row>
    <row r="1516" ht="20.25" customHeight="1">
      <c r="A1516" s="44"/>
      <c r="B1516" s="44"/>
      <c r="C1516" s="44"/>
      <c r="D1516" s="44"/>
      <c r="E1516" s="44"/>
      <c r="F1516" s="44"/>
      <c r="G1516" s="44"/>
      <c r="H1516" s="44"/>
      <c r="I1516" s="44"/>
      <c r="J1516" s="76"/>
    </row>
    <row r="1517" ht="20.25" customHeight="1">
      <c r="A1517" s="44"/>
      <c r="B1517" s="44"/>
      <c r="C1517" s="44"/>
      <c r="D1517" s="44"/>
      <c r="E1517" s="44"/>
      <c r="F1517" s="44"/>
      <c r="G1517" s="44"/>
      <c r="H1517" s="44"/>
      <c r="I1517" s="44"/>
      <c r="J1517" s="76"/>
    </row>
    <row r="1518" ht="20.25" customHeight="1">
      <c r="A1518" s="44"/>
      <c r="B1518" s="44"/>
      <c r="C1518" s="44"/>
      <c r="D1518" s="44"/>
      <c r="E1518" s="44"/>
      <c r="F1518" s="44"/>
      <c r="G1518" s="44"/>
      <c r="H1518" s="44"/>
      <c r="I1518" s="44"/>
      <c r="J1518" s="76"/>
    </row>
    <row r="1519" ht="20.25" customHeight="1">
      <c r="A1519" s="44"/>
      <c r="B1519" s="44"/>
      <c r="C1519" s="44"/>
      <c r="D1519" s="44"/>
      <c r="E1519" s="44"/>
      <c r="F1519" s="44"/>
      <c r="G1519" s="44"/>
      <c r="H1519" s="44"/>
      <c r="I1519" s="44"/>
      <c r="J1519" s="76"/>
    </row>
    <row r="1520" ht="20.25" customHeight="1">
      <c r="A1520" s="44"/>
      <c r="B1520" s="44"/>
      <c r="C1520" s="44"/>
      <c r="D1520" s="44"/>
      <c r="E1520" s="44"/>
      <c r="F1520" s="44"/>
      <c r="G1520" s="44"/>
      <c r="H1520" s="44"/>
      <c r="I1520" s="44"/>
      <c r="J1520" s="76"/>
    </row>
    <row r="1521" ht="20.25" customHeight="1">
      <c r="A1521" s="44"/>
      <c r="B1521" s="44"/>
      <c r="C1521" s="44"/>
      <c r="D1521" s="44"/>
      <c r="E1521" s="44"/>
      <c r="F1521" s="44"/>
      <c r="G1521" s="44"/>
      <c r="H1521" s="44"/>
      <c r="I1521" s="44"/>
      <c r="J1521" s="76"/>
    </row>
    <row r="1522" ht="20.25" customHeight="1">
      <c r="A1522" s="44"/>
      <c r="B1522" s="44"/>
      <c r="C1522" s="44"/>
      <c r="D1522" s="44"/>
      <c r="E1522" s="44"/>
      <c r="F1522" s="44"/>
      <c r="G1522" s="44"/>
      <c r="H1522" s="44"/>
      <c r="I1522" s="44"/>
      <c r="J1522" s="76"/>
    </row>
    <row r="1523" ht="20.25" customHeight="1">
      <c r="A1523" s="44"/>
      <c r="B1523" s="44"/>
      <c r="C1523" s="44"/>
      <c r="D1523" s="44"/>
      <c r="E1523" s="44"/>
      <c r="F1523" s="44"/>
      <c r="G1523" s="44"/>
      <c r="H1523" s="44"/>
      <c r="I1523" s="44"/>
      <c r="J1523" s="76"/>
    </row>
    <row r="1524" ht="20.25" customHeight="1">
      <c r="A1524" s="44"/>
      <c r="B1524" s="44"/>
      <c r="C1524" s="44"/>
      <c r="D1524" s="44"/>
      <c r="E1524" s="44"/>
      <c r="F1524" s="44"/>
      <c r="G1524" s="44"/>
      <c r="H1524" s="44"/>
      <c r="I1524" s="44"/>
      <c r="J1524" s="76"/>
    </row>
    <row r="1525" ht="20.25" customHeight="1">
      <c r="A1525" s="44"/>
      <c r="B1525" s="44"/>
      <c r="C1525" s="44"/>
      <c r="D1525" s="44"/>
      <c r="E1525" s="44"/>
      <c r="F1525" s="44"/>
      <c r="G1525" s="44"/>
      <c r="H1525" s="44"/>
      <c r="I1525" s="44"/>
      <c r="J1525" s="76"/>
    </row>
    <row r="1526" ht="20.25" customHeight="1">
      <c r="A1526" s="44"/>
      <c r="B1526" s="44"/>
      <c r="C1526" s="44"/>
      <c r="D1526" s="44"/>
      <c r="E1526" s="44"/>
      <c r="F1526" s="44"/>
      <c r="G1526" s="44"/>
      <c r="H1526" s="44"/>
      <c r="I1526" s="44"/>
      <c r="J1526" s="76"/>
    </row>
    <row r="1527" ht="20.25" customHeight="1">
      <c r="A1527" s="44"/>
      <c r="B1527" s="44"/>
      <c r="C1527" s="44"/>
      <c r="D1527" s="44"/>
      <c r="E1527" s="44"/>
      <c r="F1527" s="44"/>
      <c r="G1527" s="44"/>
      <c r="H1527" s="44"/>
      <c r="I1527" s="44"/>
      <c r="J1527" s="76"/>
    </row>
    <row r="1528" ht="20.25" customHeight="1">
      <c r="A1528" s="44"/>
      <c r="B1528" s="44"/>
      <c r="C1528" s="44"/>
      <c r="D1528" s="44"/>
      <c r="E1528" s="44"/>
      <c r="F1528" s="44"/>
      <c r="G1528" s="44"/>
      <c r="H1528" s="44"/>
      <c r="I1528" s="44"/>
      <c r="J1528" s="76"/>
    </row>
    <row r="1529" ht="20.25" customHeight="1">
      <c r="A1529" s="44"/>
      <c r="B1529" s="44"/>
      <c r="C1529" s="44"/>
      <c r="D1529" s="44"/>
      <c r="E1529" s="44"/>
      <c r="F1529" s="44"/>
      <c r="G1529" s="44"/>
      <c r="H1529" s="44"/>
      <c r="I1529" s="44"/>
      <c r="J1529" s="76"/>
    </row>
    <row r="1530" ht="20.25" customHeight="1">
      <c r="A1530" s="44"/>
      <c r="B1530" s="44"/>
      <c r="C1530" s="44"/>
      <c r="D1530" s="44"/>
      <c r="E1530" s="44"/>
      <c r="F1530" s="44"/>
      <c r="G1530" s="44"/>
      <c r="H1530" s="44"/>
      <c r="I1530" s="44"/>
      <c r="J1530" s="76"/>
    </row>
    <row r="1531" ht="20.25" customHeight="1">
      <c r="A1531" s="44"/>
      <c r="B1531" s="44"/>
      <c r="C1531" s="44"/>
      <c r="D1531" s="44"/>
      <c r="E1531" s="44"/>
      <c r="F1531" s="44"/>
      <c r="G1531" s="44"/>
      <c r="H1531" s="44"/>
      <c r="I1531" s="44"/>
      <c r="J1531" s="76"/>
    </row>
    <row r="1532" ht="20.25" customHeight="1">
      <c r="A1532" s="44"/>
      <c r="B1532" s="44"/>
      <c r="C1532" s="44"/>
      <c r="D1532" s="44"/>
      <c r="E1532" s="44"/>
      <c r="F1532" s="44"/>
      <c r="G1532" s="44"/>
      <c r="H1532" s="44"/>
      <c r="I1532" s="44"/>
      <c r="J1532" s="76"/>
    </row>
    <row r="1533" ht="20.25" customHeight="1">
      <c r="A1533" s="44"/>
      <c r="B1533" s="44"/>
      <c r="C1533" s="44"/>
      <c r="D1533" s="44"/>
      <c r="E1533" s="44"/>
      <c r="F1533" s="44"/>
      <c r="G1533" s="44"/>
      <c r="H1533" s="44"/>
      <c r="I1533" s="44"/>
      <c r="J1533" s="76"/>
    </row>
    <row r="1534" ht="20.25" customHeight="1">
      <c r="A1534" s="44"/>
      <c r="B1534" s="44"/>
      <c r="C1534" s="44"/>
      <c r="D1534" s="44"/>
      <c r="E1534" s="44"/>
      <c r="F1534" s="44"/>
      <c r="G1534" s="44"/>
      <c r="H1534" s="44"/>
      <c r="I1534" s="44"/>
      <c r="J1534" s="76"/>
    </row>
    <row r="1535" ht="20.25" customHeight="1">
      <c r="A1535" s="44"/>
      <c r="B1535" s="44"/>
      <c r="C1535" s="44"/>
      <c r="D1535" s="44"/>
      <c r="E1535" s="44"/>
      <c r="F1535" s="44"/>
      <c r="G1535" s="44"/>
      <c r="H1535" s="44"/>
      <c r="I1535" s="44"/>
      <c r="J1535" s="76"/>
    </row>
    <row r="1536" ht="20.25" customHeight="1">
      <c r="A1536" s="44"/>
      <c r="B1536" s="44"/>
      <c r="C1536" s="44"/>
      <c r="D1536" s="44"/>
      <c r="E1536" s="44"/>
      <c r="F1536" s="44"/>
      <c r="G1536" s="44"/>
      <c r="H1536" s="44"/>
      <c r="I1536" s="44"/>
      <c r="J1536" s="76"/>
    </row>
    <row r="1537" ht="20.25" customHeight="1">
      <c r="A1537" s="44"/>
      <c r="B1537" s="44"/>
      <c r="C1537" s="44"/>
      <c r="D1537" s="44"/>
      <c r="E1537" s="44"/>
      <c r="F1537" s="44"/>
      <c r="G1537" s="44"/>
      <c r="H1537" s="44"/>
      <c r="I1537" s="44"/>
      <c r="J1537" s="76"/>
    </row>
    <row r="1538" ht="20.25" customHeight="1">
      <c r="A1538" s="44"/>
      <c r="B1538" s="44"/>
      <c r="C1538" s="44"/>
      <c r="D1538" s="44"/>
      <c r="E1538" s="44"/>
      <c r="F1538" s="44"/>
      <c r="G1538" s="44"/>
      <c r="H1538" s="44"/>
      <c r="I1538" s="44"/>
      <c r="J1538" s="76"/>
    </row>
    <row r="1539" ht="20.25" customHeight="1">
      <c r="A1539" s="44"/>
      <c r="B1539" s="44"/>
      <c r="C1539" s="44"/>
      <c r="D1539" s="44"/>
      <c r="E1539" s="44"/>
      <c r="F1539" s="44"/>
      <c r="G1539" s="44"/>
      <c r="H1539" s="44"/>
      <c r="I1539" s="44"/>
      <c r="J1539" s="76"/>
    </row>
    <row r="1540" ht="20.25" customHeight="1">
      <c r="A1540" s="44"/>
      <c r="B1540" s="44"/>
      <c r="C1540" s="44"/>
      <c r="D1540" s="44"/>
      <c r="E1540" s="44"/>
      <c r="F1540" s="44"/>
      <c r="G1540" s="44"/>
      <c r="H1540" s="44"/>
      <c r="I1540" s="44"/>
      <c r="J1540" s="76"/>
    </row>
    <row r="1541" ht="20.25" customHeight="1">
      <c r="A1541" s="44"/>
      <c r="B1541" s="44"/>
      <c r="C1541" s="44"/>
      <c r="D1541" s="44"/>
      <c r="E1541" s="44"/>
      <c r="F1541" s="44"/>
      <c r="G1541" s="44"/>
      <c r="H1541" s="44"/>
      <c r="I1541" s="44"/>
      <c r="J1541" s="76"/>
    </row>
    <row r="1542" ht="20.25" customHeight="1">
      <c r="A1542" s="44"/>
      <c r="B1542" s="44"/>
      <c r="C1542" s="44"/>
      <c r="D1542" s="44"/>
      <c r="E1542" s="44"/>
      <c r="F1542" s="44"/>
      <c r="G1542" s="44"/>
      <c r="H1542" s="44"/>
      <c r="I1542" s="44"/>
      <c r="J1542" s="76"/>
    </row>
    <row r="1543" ht="20.25" customHeight="1">
      <c r="A1543" s="44"/>
      <c r="B1543" s="44"/>
      <c r="C1543" s="44"/>
      <c r="D1543" s="44"/>
      <c r="E1543" s="44"/>
      <c r="F1543" s="44"/>
      <c r="G1543" s="44"/>
      <c r="H1543" s="44"/>
      <c r="I1543" s="44"/>
      <c r="J1543" s="76"/>
    </row>
    <row r="1544" ht="20.25" customHeight="1">
      <c r="A1544" s="44"/>
      <c r="B1544" s="44"/>
      <c r="C1544" s="44"/>
      <c r="D1544" s="44"/>
      <c r="E1544" s="44"/>
      <c r="F1544" s="44"/>
      <c r="G1544" s="44"/>
      <c r="H1544" s="44"/>
      <c r="I1544" s="44"/>
      <c r="J1544" s="76"/>
    </row>
    <row r="1545" ht="20.25" customHeight="1">
      <c r="A1545" s="44"/>
      <c r="B1545" s="44"/>
      <c r="C1545" s="44"/>
      <c r="D1545" s="44"/>
      <c r="E1545" s="44"/>
      <c r="F1545" s="44"/>
      <c r="G1545" s="44"/>
      <c r="H1545" s="44"/>
      <c r="I1545" s="44"/>
      <c r="J1545" s="76"/>
    </row>
    <row r="1546" ht="20.25" customHeight="1">
      <c r="A1546" s="44"/>
      <c r="B1546" s="44"/>
      <c r="C1546" s="44"/>
      <c r="D1546" s="44"/>
      <c r="E1546" s="44"/>
      <c r="F1546" s="44"/>
      <c r="G1546" s="44"/>
      <c r="H1546" s="44"/>
      <c r="I1546" s="44"/>
      <c r="J1546" s="76"/>
    </row>
    <row r="1547" ht="20.25" customHeight="1">
      <c r="A1547" s="44"/>
      <c r="B1547" s="44"/>
      <c r="C1547" s="44"/>
      <c r="D1547" s="44"/>
      <c r="E1547" s="44"/>
      <c r="F1547" s="44"/>
      <c r="G1547" s="44"/>
      <c r="H1547" s="44"/>
      <c r="I1547" s="44"/>
      <c r="J1547" s="76"/>
    </row>
    <row r="1548" ht="20.25" customHeight="1">
      <c r="A1548" s="44"/>
      <c r="B1548" s="44"/>
      <c r="C1548" s="44"/>
      <c r="D1548" s="44"/>
      <c r="E1548" s="44"/>
      <c r="F1548" s="44"/>
      <c r="G1548" s="44"/>
      <c r="H1548" s="44"/>
      <c r="I1548" s="44"/>
      <c r="J1548" s="76"/>
    </row>
    <row r="1549" ht="20.25" customHeight="1">
      <c r="A1549" s="44"/>
      <c r="B1549" s="44"/>
      <c r="C1549" s="44"/>
      <c r="D1549" s="44"/>
      <c r="E1549" s="44"/>
      <c r="F1549" s="44"/>
      <c r="G1549" s="44"/>
      <c r="H1549" s="44"/>
      <c r="I1549" s="44"/>
      <c r="J1549" s="76"/>
    </row>
    <row r="1550" ht="20.25" customHeight="1">
      <c r="A1550" s="44"/>
      <c r="B1550" s="44"/>
      <c r="C1550" s="44"/>
      <c r="D1550" s="44"/>
      <c r="E1550" s="44"/>
      <c r="F1550" s="44"/>
      <c r="G1550" s="44"/>
      <c r="H1550" s="44"/>
      <c r="I1550" s="44"/>
      <c r="J1550" s="76"/>
    </row>
    <row r="1551" ht="20.25" customHeight="1">
      <c r="A1551" s="44"/>
      <c r="B1551" s="44"/>
      <c r="C1551" s="44"/>
      <c r="D1551" s="44"/>
      <c r="E1551" s="44"/>
      <c r="F1551" s="44"/>
      <c r="G1551" s="44"/>
      <c r="H1551" s="44"/>
      <c r="I1551" s="44"/>
      <c r="J1551" s="76"/>
    </row>
    <row r="1552" ht="20.25" customHeight="1">
      <c r="A1552" s="44"/>
      <c r="B1552" s="44"/>
      <c r="C1552" s="44"/>
      <c r="D1552" s="44"/>
      <c r="E1552" s="44"/>
      <c r="F1552" s="44"/>
      <c r="G1552" s="44"/>
      <c r="H1552" s="44"/>
      <c r="I1552" s="44"/>
      <c r="J1552" s="76"/>
    </row>
    <row r="1553" ht="20.25" customHeight="1">
      <c r="A1553" s="44"/>
      <c r="B1553" s="44"/>
      <c r="C1553" s="44"/>
      <c r="D1553" s="44"/>
      <c r="E1553" s="44"/>
      <c r="F1553" s="44"/>
      <c r="G1553" s="44"/>
      <c r="H1553" s="44"/>
      <c r="I1553" s="44"/>
      <c r="J1553" s="76"/>
    </row>
    <row r="1554" ht="20.25" customHeight="1">
      <c r="A1554" s="44"/>
      <c r="B1554" s="44"/>
      <c r="C1554" s="44"/>
      <c r="D1554" s="44"/>
      <c r="E1554" s="44"/>
      <c r="F1554" s="44"/>
      <c r="G1554" s="44"/>
      <c r="H1554" s="44"/>
      <c r="I1554" s="44"/>
      <c r="J1554" s="76"/>
    </row>
    <row r="1555" ht="20.25" customHeight="1">
      <c r="A1555" s="44"/>
      <c r="B1555" s="44"/>
      <c r="C1555" s="44"/>
      <c r="D1555" s="44"/>
      <c r="E1555" s="44"/>
      <c r="F1555" s="44"/>
      <c r="G1555" s="44"/>
      <c r="H1555" s="44"/>
      <c r="I1555" s="44"/>
      <c r="J1555" s="76"/>
    </row>
    <row r="1556" ht="20.25" customHeight="1">
      <c r="A1556" s="44"/>
      <c r="B1556" s="44"/>
      <c r="C1556" s="44"/>
      <c r="D1556" s="44"/>
      <c r="E1556" s="44"/>
      <c r="F1556" s="44"/>
      <c r="G1556" s="44"/>
      <c r="H1556" s="44"/>
      <c r="I1556" s="44"/>
      <c r="J1556" s="76"/>
    </row>
    <row r="1557" ht="20.25" customHeight="1">
      <c r="A1557" s="44"/>
      <c r="B1557" s="44"/>
      <c r="C1557" s="44"/>
      <c r="D1557" s="44"/>
      <c r="E1557" s="44"/>
      <c r="F1557" s="44"/>
      <c r="G1557" s="44"/>
      <c r="H1557" s="44"/>
      <c r="I1557" s="44"/>
      <c r="J1557" s="76"/>
    </row>
    <row r="1558" ht="20.25" customHeight="1">
      <c r="A1558" s="44"/>
      <c r="B1558" s="44"/>
      <c r="C1558" s="44"/>
      <c r="D1558" s="44"/>
      <c r="E1558" s="44"/>
      <c r="F1558" s="44"/>
      <c r="G1558" s="44"/>
      <c r="H1558" s="44"/>
      <c r="I1558" s="44"/>
      <c r="J1558" s="76"/>
    </row>
    <row r="1559" ht="20.25" customHeight="1">
      <c r="A1559" s="44"/>
      <c r="B1559" s="44"/>
      <c r="C1559" s="44"/>
      <c r="D1559" s="44"/>
      <c r="E1559" s="44"/>
      <c r="F1559" s="44"/>
      <c r="G1559" s="44"/>
      <c r="H1559" s="44"/>
      <c r="I1559" s="44"/>
      <c r="J1559" s="76"/>
    </row>
    <row r="1560" ht="20.25" customHeight="1">
      <c r="A1560" s="44"/>
      <c r="B1560" s="44"/>
      <c r="C1560" s="44"/>
      <c r="D1560" s="44"/>
      <c r="E1560" s="44"/>
      <c r="F1560" s="44"/>
      <c r="G1560" s="44"/>
      <c r="H1560" s="44"/>
      <c r="I1560" s="44"/>
      <c r="J1560" s="76"/>
    </row>
    <row r="1561" ht="20.25" customHeight="1">
      <c r="A1561" s="44"/>
      <c r="B1561" s="44"/>
      <c r="C1561" s="44"/>
      <c r="D1561" s="44"/>
      <c r="E1561" s="44"/>
      <c r="F1561" s="44"/>
      <c r="G1561" s="44"/>
      <c r="H1561" s="44"/>
      <c r="I1561" s="44"/>
      <c r="J1561" s="76"/>
    </row>
    <row r="1562" ht="20.25" customHeight="1">
      <c r="A1562" s="44"/>
      <c r="B1562" s="44"/>
      <c r="C1562" s="44"/>
      <c r="D1562" s="44"/>
      <c r="E1562" s="44"/>
      <c r="F1562" s="44"/>
      <c r="G1562" s="44"/>
      <c r="H1562" s="44"/>
      <c r="I1562" s="44"/>
      <c r="J1562" s="76"/>
    </row>
    <row r="1563" ht="20.25" customHeight="1">
      <c r="A1563" s="44"/>
      <c r="B1563" s="44"/>
      <c r="C1563" s="44"/>
      <c r="D1563" s="44"/>
      <c r="E1563" s="44"/>
      <c r="F1563" s="44"/>
      <c r="G1563" s="44"/>
      <c r="H1563" s="44"/>
      <c r="I1563" s="44"/>
      <c r="J1563" s="76"/>
    </row>
    <row r="1564" ht="20.25" customHeight="1">
      <c r="A1564" s="44"/>
      <c r="B1564" s="44"/>
      <c r="C1564" s="44"/>
      <c r="D1564" s="44"/>
      <c r="E1564" s="44"/>
      <c r="F1564" s="44"/>
      <c r="G1564" s="44"/>
      <c r="H1564" s="44"/>
      <c r="I1564" s="44"/>
      <c r="J1564" s="76"/>
    </row>
    <row r="1565" ht="20.25" customHeight="1">
      <c r="A1565" s="44"/>
      <c r="B1565" s="44"/>
      <c r="C1565" s="44"/>
      <c r="D1565" s="44"/>
      <c r="E1565" s="44"/>
      <c r="F1565" s="44"/>
      <c r="G1565" s="44"/>
      <c r="H1565" s="44"/>
      <c r="I1565" s="44"/>
      <c r="J1565" s="76"/>
    </row>
    <row r="1566" ht="20.25" customHeight="1">
      <c r="A1566" s="44"/>
      <c r="B1566" s="44"/>
      <c r="C1566" s="44"/>
      <c r="D1566" s="44"/>
      <c r="E1566" s="44"/>
      <c r="F1566" s="44"/>
      <c r="G1566" s="44"/>
      <c r="H1566" s="44"/>
      <c r="I1566" s="44"/>
      <c r="J1566" s="76"/>
    </row>
    <row r="1567" ht="20.25" customHeight="1">
      <c r="A1567" s="44"/>
      <c r="B1567" s="44"/>
      <c r="C1567" s="44"/>
      <c r="D1567" s="44"/>
      <c r="E1567" s="44"/>
      <c r="F1567" s="44"/>
      <c r="G1567" s="44"/>
      <c r="H1567" s="44"/>
      <c r="I1567" s="44"/>
      <c r="J1567" s="76"/>
    </row>
    <row r="1568" ht="20.25" customHeight="1">
      <c r="A1568" s="44"/>
      <c r="B1568" s="44"/>
      <c r="C1568" s="44"/>
      <c r="D1568" s="44"/>
      <c r="E1568" s="44"/>
      <c r="F1568" s="44"/>
      <c r="G1568" s="44"/>
      <c r="H1568" s="44"/>
      <c r="I1568" s="44"/>
      <c r="J1568" s="76"/>
    </row>
    <row r="1569" ht="20.25" customHeight="1">
      <c r="A1569" s="44"/>
      <c r="B1569" s="44"/>
      <c r="C1569" s="44"/>
      <c r="D1569" s="44"/>
      <c r="E1569" s="44"/>
      <c r="F1569" s="44"/>
      <c r="G1569" s="44"/>
      <c r="H1569" s="44"/>
      <c r="I1569" s="44"/>
      <c r="J1569" s="76"/>
    </row>
    <row r="1570" ht="20.25" customHeight="1">
      <c r="A1570" s="44"/>
      <c r="B1570" s="44"/>
      <c r="C1570" s="44"/>
      <c r="D1570" s="44"/>
      <c r="E1570" s="44"/>
      <c r="F1570" s="44"/>
      <c r="G1570" s="44"/>
      <c r="H1570" s="44"/>
      <c r="I1570" s="44"/>
      <c r="J1570" s="76"/>
    </row>
    <row r="1571" ht="20.25" customHeight="1">
      <c r="A1571" s="44"/>
      <c r="B1571" s="44"/>
      <c r="C1571" s="44"/>
      <c r="D1571" s="44"/>
      <c r="E1571" s="44"/>
      <c r="F1571" s="44"/>
      <c r="G1571" s="44"/>
      <c r="H1571" s="44"/>
      <c r="I1571" s="44"/>
      <c r="J1571" s="76"/>
    </row>
    <row r="1572" ht="20.25" customHeight="1">
      <c r="A1572" s="44"/>
      <c r="B1572" s="44"/>
      <c r="C1572" s="44"/>
      <c r="D1572" s="44"/>
      <c r="E1572" s="44"/>
      <c r="F1572" s="44"/>
      <c r="G1572" s="44"/>
      <c r="H1572" s="44"/>
      <c r="I1572" s="44"/>
      <c r="J1572" s="76"/>
    </row>
    <row r="1573" ht="20.25" customHeight="1">
      <c r="A1573" s="44"/>
      <c r="B1573" s="44"/>
      <c r="C1573" s="44"/>
      <c r="D1573" s="44"/>
      <c r="E1573" s="44"/>
      <c r="F1573" s="44"/>
      <c r="G1573" s="44"/>
      <c r="H1573" s="44"/>
      <c r="I1573" s="44"/>
      <c r="J1573" s="76"/>
    </row>
    <row r="1574" ht="20.25" customHeight="1">
      <c r="A1574" s="44"/>
      <c r="B1574" s="44"/>
      <c r="C1574" s="44"/>
      <c r="D1574" s="44"/>
      <c r="E1574" s="44"/>
      <c r="F1574" s="44"/>
      <c r="G1574" s="44"/>
      <c r="H1574" s="44"/>
      <c r="I1574" s="44"/>
      <c r="J1574" s="76"/>
    </row>
    <row r="1575" ht="20.25" customHeight="1">
      <c r="A1575" s="44"/>
      <c r="B1575" s="44"/>
      <c r="C1575" s="44"/>
      <c r="D1575" s="44"/>
      <c r="E1575" s="44"/>
      <c r="F1575" s="44"/>
      <c r="G1575" s="44"/>
      <c r="H1575" s="44"/>
      <c r="I1575" s="44"/>
      <c r="J1575" s="76"/>
    </row>
    <row r="1576" ht="20.25" customHeight="1">
      <c r="A1576" s="44"/>
      <c r="B1576" s="44"/>
      <c r="C1576" s="44"/>
      <c r="D1576" s="44"/>
      <c r="E1576" s="44"/>
      <c r="F1576" s="44"/>
      <c r="G1576" s="44"/>
      <c r="H1576" s="44"/>
      <c r="I1576" s="44"/>
      <c r="J1576" s="76"/>
    </row>
    <row r="1577" ht="20.25" customHeight="1">
      <c r="A1577" s="44"/>
      <c r="B1577" s="44"/>
      <c r="C1577" s="44"/>
      <c r="D1577" s="44"/>
      <c r="E1577" s="44"/>
      <c r="F1577" s="44"/>
      <c r="G1577" s="44"/>
      <c r="H1577" s="44"/>
      <c r="I1577" s="44"/>
      <c r="J1577" s="76"/>
    </row>
    <row r="1578" ht="20.25" customHeight="1">
      <c r="A1578" s="44"/>
      <c r="B1578" s="44"/>
      <c r="C1578" s="44"/>
      <c r="D1578" s="44"/>
      <c r="E1578" s="44"/>
      <c r="F1578" s="44"/>
      <c r="G1578" s="44"/>
      <c r="H1578" s="44"/>
      <c r="I1578" s="44"/>
      <c r="J1578" s="76"/>
    </row>
    <row r="1579" ht="20.25" customHeight="1">
      <c r="A1579" s="44"/>
      <c r="B1579" s="44"/>
      <c r="C1579" s="44"/>
      <c r="D1579" s="44"/>
      <c r="E1579" s="44"/>
      <c r="F1579" s="44"/>
      <c r="G1579" s="44"/>
      <c r="H1579" s="44"/>
      <c r="I1579" s="44"/>
      <c r="J1579" s="76"/>
    </row>
    <row r="1580" ht="20.25" customHeight="1">
      <c r="A1580" s="44"/>
      <c r="B1580" s="44"/>
      <c r="C1580" s="44"/>
      <c r="D1580" s="44"/>
      <c r="E1580" s="44"/>
      <c r="F1580" s="44"/>
      <c r="G1580" s="44"/>
      <c r="H1580" s="44"/>
      <c r="I1580" s="44"/>
      <c r="J1580" s="76"/>
    </row>
    <row r="1581" ht="20.25" customHeight="1">
      <c r="A1581" s="44"/>
      <c r="B1581" s="44"/>
      <c r="C1581" s="44"/>
      <c r="D1581" s="44"/>
      <c r="E1581" s="44"/>
      <c r="F1581" s="44"/>
      <c r="G1581" s="44"/>
      <c r="H1581" s="44"/>
      <c r="I1581" s="44"/>
      <c r="J1581" s="76"/>
    </row>
    <row r="1582" ht="20.25" customHeight="1">
      <c r="A1582" s="44"/>
      <c r="B1582" s="44"/>
      <c r="C1582" s="44"/>
      <c r="D1582" s="44"/>
      <c r="E1582" s="44"/>
      <c r="F1582" s="44"/>
      <c r="G1582" s="44"/>
      <c r="H1582" s="44"/>
      <c r="I1582" s="44"/>
      <c r="J1582" s="76"/>
    </row>
    <row r="1583" ht="20.25" customHeight="1">
      <c r="A1583" s="44"/>
      <c r="B1583" s="44"/>
      <c r="C1583" s="44"/>
      <c r="D1583" s="44"/>
      <c r="E1583" s="44"/>
      <c r="F1583" s="44"/>
      <c r="G1583" s="44"/>
      <c r="H1583" s="44"/>
      <c r="I1583" s="44"/>
      <c r="J1583" s="76"/>
    </row>
  </sheetData>
  <autoFilter ref="$A$38:$AA$589">
    <sortState ref="A38:AA589">
      <sortCondition ref="C38:C589"/>
      <sortCondition ref="F38:F589"/>
    </sortState>
  </autoFilter>
  <customSheetViews>
    <customSheetView guid="{8D341382-F33A-42BE-92B5-CA8C873B6B9A}" filter="1" showAutoFilter="1">
      <autoFilter ref="$A$38:$J$589">
        <filterColumn colId="4">
          <filters>
            <filter val="AMO"/>
          </filters>
        </filterColumn>
      </autoFilter>
    </customSheetView>
    <customSheetView guid="{7E2DC08E-42AC-43D8-8C70-258D8904AA44}" filter="1" showAutoFilter="1">
      <autoFilter ref="$A$38:$J$589"/>
    </customSheetView>
  </customSheetView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4.75"/>
    <col customWidth="1" min="2" max="2" width="17.38"/>
    <col customWidth="1" min="3" max="3" width="19.25"/>
    <col customWidth="1" min="4" max="4" width="16.88"/>
    <col customWidth="1" min="5" max="6" width="23.63"/>
    <col customWidth="1" min="7" max="7" width="20.38"/>
    <col customWidth="1" min="8" max="8" width="23.5"/>
    <col customWidth="1" min="9" max="9" width="21.5"/>
    <col customWidth="1" min="10" max="10" width="39.25"/>
    <col customWidth="1" min="11" max="12" width="26.63"/>
    <col customWidth="1" min="13" max="13" width="25.63"/>
    <col customWidth="1" min="15" max="15" width="38.25"/>
    <col customWidth="1" min="16" max="16" width="24.88"/>
  </cols>
  <sheetData>
    <row r="1">
      <c r="A1" s="2" t="s">
        <v>36</v>
      </c>
      <c r="I1" s="4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</row>
    <row r="2">
      <c r="A2" s="3"/>
      <c r="B2" s="5"/>
      <c r="C2" s="5"/>
      <c r="D2" s="3"/>
      <c r="E2" s="7"/>
      <c r="F2" s="7"/>
      <c r="G2" s="5"/>
      <c r="H2" s="5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</row>
    <row r="3">
      <c r="A3" s="9" t="s">
        <v>3</v>
      </c>
      <c r="B3" s="11" t="s">
        <v>4</v>
      </c>
      <c r="C3" s="9" t="s">
        <v>6</v>
      </c>
      <c r="D3" s="13" t="s">
        <v>172</v>
      </c>
      <c r="E3" s="15" t="s">
        <v>11</v>
      </c>
      <c r="F3" s="5"/>
      <c r="G3" s="3"/>
      <c r="H3" s="5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20" t="s">
        <v>65</v>
      </c>
      <c r="B4" s="21"/>
      <c r="C4" s="21"/>
      <c r="D4" s="22"/>
      <c r="E4" s="27">
        <f t="shared" ref="E4:E32" si="1">SUM(B4:D4)</f>
        <v>0</v>
      </c>
      <c r="F4" s="56"/>
      <c r="H4" s="41"/>
    </row>
    <row r="5">
      <c r="A5" s="20" t="s">
        <v>15</v>
      </c>
      <c r="B5" s="21"/>
      <c r="C5" s="21"/>
      <c r="D5" s="27"/>
      <c r="E5" s="27">
        <f t="shared" si="1"/>
        <v>0</v>
      </c>
      <c r="F5" s="61"/>
    </row>
    <row r="6">
      <c r="A6" s="20" t="s">
        <v>17</v>
      </c>
      <c r="B6" s="21"/>
      <c r="C6" s="21"/>
      <c r="D6" s="27"/>
      <c r="E6" s="27">
        <f t="shared" si="1"/>
        <v>0</v>
      </c>
      <c r="F6" s="56"/>
      <c r="H6" s="41"/>
    </row>
    <row r="7">
      <c r="A7" s="20" t="s">
        <v>21</v>
      </c>
      <c r="B7" s="21"/>
      <c r="C7" s="21"/>
      <c r="D7" s="27"/>
      <c r="E7" s="27">
        <f t="shared" si="1"/>
        <v>0</v>
      </c>
      <c r="F7" s="61"/>
      <c r="H7" s="41"/>
    </row>
    <row r="8">
      <c r="A8" s="20" t="s">
        <v>22</v>
      </c>
      <c r="B8" s="21"/>
      <c r="C8" s="21"/>
      <c r="D8" s="27"/>
      <c r="E8" s="27">
        <f t="shared" si="1"/>
        <v>0</v>
      </c>
      <c r="F8" s="56"/>
      <c r="H8" s="41"/>
    </row>
    <row r="9">
      <c r="A9" s="20" t="s">
        <v>279</v>
      </c>
      <c r="B9" s="21"/>
      <c r="C9" s="21"/>
      <c r="D9" s="27"/>
      <c r="E9" s="27">
        <f t="shared" si="1"/>
        <v>0</v>
      </c>
      <c r="F9" s="56"/>
      <c r="H9" s="41"/>
    </row>
    <row r="10">
      <c r="A10" s="20" t="s">
        <v>142</v>
      </c>
      <c r="B10" s="21"/>
      <c r="C10" s="21"/>
      <c r="D10" s="27"/>
      <c r="E10" s="27">
        <f t="shared" si="1"/>
        <v>0</v>
      </c>
      <c r="F10" s="56"/>
      <c r="H10" s="41"/>
    </row>
    <row r="11">
      <c r="A11" s="20" t="s">
        <v>23</v>
      </c>
      <c r="B11" s="21"/>
      <c r="C11" s="21"/>
      <c r="D11" s="27"/>
      <c r="E11" s="27">
        <f t="shared" si="1"/>
        <v>0</v>
      </c>
      <c r="F11" s="56"/>
      <c r="H11" s="41"/>
    </row>
    <row r="12">
      <c r="A12" s="20" t="s">
        <v>26</v>
      </c>
      <c r="B12" s="21"/>
      <c r="C12" s="21"/>
      <c r="D12" s="27"/>
      <c r="E12" s="27">
        <f t="shared" si="1"/>
        <v>0</v>
      </c>
      <c r="F12" s="56"/>
      <c r="H12" s="41"/>
    </row>
    <row r="13">
      <c r="A13" s="20" t="s">
        <v>27</v>
      </c>
      <c r="B13" s="21"/>
      <c r="C13" s="21"/>
      <c r="D13" s="27"/>
      <c r="E13" s="27">
        <f t="shared" si="1"/>
        <v>0</v>
      </c>
      <c r="F13" s="56"/>
      <c r="H13" s="41"/>
    </row>
    <row r="14">
      <c r="A14" s="20" t="s">
        <v>28</v>
      </c>
      <c r="B14" s="21"/>
      <c r="C14" s="21"/>
      <c r="D14" s="27"/>
      <c r="E14" s="27">
        <f t="shared" si="1"/>
        <v>0</v>
      </c>
      <c r="F14" s="56"/>
      <c r="H14" s="41"/>
    </row>
    <row r="15">
      <c r="A15" s="20" t="s">
        <v>29</v>
      </c>
      <c r="B15" s="21"/>
      <c r="C15" s="21"/>
      <c r="D15" s="27"/>
      <c r="E15" s="27">
        <f t="shared" si="1"/>
        <v>0</v>
      </c>
      <c r="F15" s="56"/>
      <c r="H15" s="41"/>
    </row>
    <row r="16">
      <c r="A16" s="20" t="s">
        <v>31</v>
      </c>
      <c r="B16" s="21"/>
      <c r="C16" s="21"/>
      <c r="D16" s="35"/>
      <c r="E16" s="27">
        <f t="shared" si="1"/>
        <v>0</v>
      </c>
      <c r="F16" s="56"/>
      <c r="H16" s="41"/>
    </row>
    <row r="17">
      <c r="A17" s="20" t="s">
        <v>32</v>
      </c>
      <c r="B17" s="21"/>
      <c r="C17" s="21"/>
      <c r="D17" s="27"/>
      <c r="E17" s="27">
        <f t="shared" si="1"/>
        <v>0</v>
      </c>
      <c r="F17" s="56"/>
      <c r="H17" s="41"/>
    </row>
    <row r="18">
      <c r="A18" s="20" t="s">
        <v>33</v>
      </c>
      <c r="B18" s="21"/>
      <c r="C18" s="21"/>
      <c r="D18" s="27"/>
      <c r="E18" s="27">
        <f t="shared" si="1"/>
        <v>0</v>
      </c>
      <c r="F18" s="56"/>
      <c r="H18" s="41"/>
    </row>
    <row r="19">
      <c r="A19" s="20" t="s">
        <v>34</v>
      </c>
      <c r="B19" s="21"/>
      <c r="C19" s="21"/>
      <c r="D19" s="27"/>
      <c r="E19" s="27">
        <f t="shared" si="1"/>
        <v>0</v>
      </c>
      <c r="F19" s="56"/>
      <c r="H19" s="41"/>
    </row>
    <row r="20">
      <c r="A20" s="20" t="s">
        <v>35</v>
      </c>
      <c r="B20" s="21"/>
      <c r="C20" s="21"/>
      <c r="D20" s="27"/>
      <c r="E20" s="27">
        <f t="shared" si="1"/>
        <v>0</v>
      </c>
      <c r="F20" s="56"/>
      <c r="H20" s="41"/>
    </row>
    <row r="21">
      <c r="A21" s="20" t="s">
        <v>47</v>
      </c>
      <c r="B21" s="21"/>
      <c r="C21" s="21"/>
      <c r="D21" s="27"/>
      <c r="E21" s="27">
        <f t="shared" si="1"/>
        <v>0</v>
      </c>
      <c r="F21" s="56"/>
      <c r="H21" s="41"/>
    </row>
    <row r="22">
      <c r="A22" s="20" t="s">
        <v>37</v>
      </c>
      <c r="B22" s="21"/>
      <c r="C22" s="21"/>
      <c r="D22" s="27"/>
      <c r="E22" s="27">
        <f t="shared" si="1"/>
        <v>0</v>
      </c>
      <c r="F22" s="56"/>
      <c r="H22" s="41"/>
    </row>
    <row r="23">
      <c r="A23" s="20" t="s">
        <v>38</v>
      </c>
      <c r="B23" s="21"/>
      <c r="C23" s="21"/>
      <c r="D23" s="27"/>
      <c r="E23" s="27">
        <f t="shared" si="1"/>
        <v>0</v>
      </c>
      <c r="F23" s="56"/>
      <c r="H23" s="95"/>
    </row>
    <row r="24">
      <c r="A24" s="20" t="s">
        <v>233</v>
      </c>
      <c r="B24" s="21"/>
      <c r="C24" s="21"/>
      <c r="D24" s="27"/>
      <c r="E24" s="27">
        <f t="shared" si="1"/>
        <v>0</v>
      </c>
      <c r="F24" s="56"/>
      <c r="H24" s="41"/>
    </row>
    <row r="25">
      <c r="A25" s="20" t="s">
        <v>40</v>
      </c>
      <c r="B25" s="21"/>
      <c r="C25" s="21"/>
      <c r="D25" s="22"/>
      <c r="E25" s="27">
        <f t="shared" si="1"/>
        <v>0</v>
      </c>
      <c r="F25" s="56"/>
      <c r="H25" s="41"/>
    </row>
    <row r="26">
      <c r="A26" s="20" t="s">
        <v>310</v>
      </c>
      <c r="B26" s="21"/>
      <c r="C26" s="21"/>
      <c r="D26" s="22"/>
      <c r="E26" s="27">
        <f t="shared" si="1"/>
        <v>0</v>
      </c>
      <c r="F26" s="56"/>
      <c r="H26" s="41"/>
    </row>
    <row r="27">
      <c r="A27" s="20" t="s">
        <v>245</v>
      </c>
      <c r="B27" s="21"/>
      <c r="C27" s="21"/>
      <c r="D27" s="22"/>
      <c r="E27" s="27">
        <f t="shared" si="1"/>
        <v>0</v>
      </c>
      <c r="F27" s="56"/>
      <c r="H27" s="41"/>
    </row>
    <row r="28">
      <c r="A28" s="20" t="s">
        <v>42</v>
      </c>
      <c r="B28" s="21"/>
      <c r="C28" s="21"/>
      <c r="D28" s="22"/>
      <c r="E28" s="27">
        <f t="shared" si="1"/>
        <v>0</v>
      </c>
      <c r="F28" s="56"/>
      <c r="H28" s="96"/>
    </row>
    <row r="29">
      <c r="A29" s="20" t="s">
        <v>43</v>
      </c>
      <c r="B29" s="21"/>
      <c r="C29" s="21"/>
      <c r="D29" s="22"/>
      <c r="E29" s="27">
        <f t="shared" si="1"/>
        <v>0</v>
      </c>
      <c r="F29" s="56"/>
      <c r="H29" s="41"/>
    </row>
    <row r="30">
      <c r="A30" s="20" t="s">
        <v>44</v>
      </c>
      <c r="B30" s="21"/>
      <c r="C30" s="21"/>
      <c r="D30" s="22"/>
      <c r="E30" s="27">
        <f t="shared" si="1"/>
        <v>0</v>
      </c>
      <c r="F30" s="56"/>
    </row>
    <row r="31">
      <c r="A31" s="20" t="s">
        <v>45</v>
      </c>
      <c r="B31" s="21"/>
      <c r="C31" s="21"/>
      <c r="D31" s="22"/>
      <c r="E31" s="27">
        <f t="shared" si="1"/>
        <v>0</v>
      </c>
      <c r="F31" s="56"/>
      <c r="H31" s="41"/>
    </row>
    <row r="32">
      <c r="A32" s="20" t="s">
        <v>48</v>
      </c>
      <c r="B32" s="21"/>
      <c r="C32" s="21"/>
      <c r="D32" s="22"/>
      <c r="E32" s="27">
        <f t="shared" si="1"/>
        <v>0</v>
      </c>
      <c r="H32" s="41"/>
    </row>
    <row r="33">
      <c r="A33" s="46" t="s">
        <v>11</v>
      </c>
      <c r="B33" s="48">
        <f t="shared" ref="B33:E33" si="2">sum(B4:B32)</f>
        <v>0</v>
      </c>
      <c r="C33" s="48">
        <f t="shared" si="2"/>
        <v>0</v>
      </c>
      <c r="D33" s="48">
        <f t="shared" si="2"/>
        <v>0</v>
      </c>
      <c r="E33" s="48">
        <f t="shared" si="2"/>
        <v>0</v>
      </c>
      <c r="H33" s="41"/>
      <c r="J33" s="97"/>
    </row>
    <row r="34">
      <c r="I34" s="41"/>
      <c r="J34" s="97"/>
    </row>
    <row r="35">
      <c r="I35" s="41"/>
    </row>
    <row r="36" ht="20.25" customHeight="1">
      <c r="A36" s="49" t="s">
        <v>50</v>
      </c>
      <c r="B36" s="49" t="s">
        <v>51</v>
      </c>
      <c r="C36" s="49" t="s">
        <v>52</v>
      </c>
      <c r="D36" s="49" t="s">
        <v>53</v>
      </c>
      <c r="E36" s="50" t="s">
        <v>54</v>
      </c>
      <c r="F36" s="49" t="s">
        <v>55</v>
      </c>
      <c r="G36" s="49" t="s">
        <v>56</v>
      </c>
      <c r="H36" s="49" t="s">
        <v>57</v>
      </c>
      <c r="I36" s="99" t="s">
        <v>58</v>
      </c>
    </row>
    <row r="37">
      <c r="A37" s="20"/>
      <c r="B37" s="20"/>
      <c r="C37" s="20"/>
      <c r="D37" s="20"/>
      <c r="E37" s="20"/>
      <c r="F37" s="20"/>
      <c r="G37" s="20"/>
      <c r="H37" s="20"/>
      <c r="I37" s="21"/>
      <c r="J37" s="100"/>
      <c r="Z37" s="20"/>
      <c r="AA37" s="20"/>
      <c r="AB37" s="20"/>
      <c r="AC37" s="20"/>
      <c r="AD37" s="20"/>
      <c r="AE37" s="20"/>
      <c r="AF37" s="20"/>
      <c r="AG37" s="62"/>
      <c r="AH37" s="62"/>
      <c r="AY37" s="20"/>
      <c r="AZ37" s="20"/>
      <c r="BA37" s="20"/>
      <c r="BB37" s="20"/>
      <c r="BC37" s="20"/>
      <c r="BD37" s="20"/>
      <c r="BE37" s="20"/>
      <c r="BF37" s="62"/>
      <c r="BG37" s="62"/>
      <c r="BX37" s="20"/>
      <c r="BY37" s="20"/>
      <c r="BZ37" s="20"/>
      <c r="CA37" s="20"/>
      <c r="CB37" s="20"/>
      <c r="CC37" s="20"/>
      <c r="CD37" s="20"/>
      <c r="CE37" s="62"/>
      <c r="CF37" s="62"/>
      <c r="CW37" s="20"/>
      <c r="CX37" s="20"/>
      <c r="CY37" s="20"/>
      <c r="CZ37" s="20"/>
      <c r="DA37" s="20"/>
      <c r="DB37" s="20"/>
      <c r="DC37" s="20"/>
      <c r="DD37" s="62"/>
      <c r="DE37" s="62"/>
      <c r="DV37" s="20"/>
      <c r="DW37" s="20"/>
      <c r="DX37" s="20"/>
      <c r="DY37" s="20"/>
      <c r="DZ37" s="20"/>
      <c r="EA37" s="20"/>
      <c r="EB37" s="20"/>
      <c r="EC37" s="62"/>
      <c r="ED37" s="62"/>
      <c r="EU37" s="20"/>
      <c r="EV37" s="20"/>
      <c r="EW37" s="20"/>
      <c r="EX37" s="20"/>
      <c r="EY37" s="20"/>
      <c r="EZ37" s="20"/>
      <c r="FA37" s="20"/>
      <c r="FB37" s="62"/>
      <c r="FC37" s="62"/>
      <c r="FT37" s="20"/>
      <c r="FU37" s="20"/>
      <c r="FV37" s="20"/>
      <c r="FW37" s="20"/>
      <c r="FX37" s="20"/>
      <c r="FY37" s="20"/>
      <c r="FZ37" s="20"/>
      <c r="GA37" s="62"/>
      <c r="GB37" s="62"/>
      <c r="GU37" s="20"/>
      <c r="GV37" s="20"/>
      <c r="GW37" s="20"/>
      <c r="GX37" s="20"/>
      <c r="GY37" s="20"/>
      <c r="GZ37" s="20"/>
      <c r="HA37" s="20"/>
      <c r="HB37" s="62"/>
      <c r="HC37" s="62"/>
      <c r="HT37" s="20"/>
      <c r="HU37" s="20"/>
      <c r="HV37" s="20"/>
      <c r="HW37" s="20"/>
      <c r="HX37" s="20"/>
      <c r="HY37" s="20"/>
      <c r="HZ37" s="20"/>
      <c r="IA37" s="62"/>
      <c r="IB37" s="62"/>
      <c r="IS37" s="20"/>
      <c r="IT37" s="20"/>
      <c r="IU37" s="20"/>
      <c r="IV37" s="20"/>
      <c r="IW37" s="20"/>
      <c r="IX37" s="20"/>
      <c r="IY37" s="20"/>
      <c r="IZ37" s="62"/>
      <c r="JA37" s="62"/>
      <c r="JR37" s="20"/>
      <c r="JS37" s="20"/>
      <c r="JT37" s="20"/>
      <c r="JU37" s="20"/>
      <c r="JV37" s="20"/>
      <c r="JW37" s="20"/>
      <c r="JX37" s="20"/>
      <c r="JY37" s="62"/>
      <c r="JZ37" s="62"/>
      <c r="KQ37" s="20"/>
      <c r="KR37" s="20"/>
      <c r="KS37" s="20"/>
      <c r="KT37" s="20"/>
      <c r="KU37" s="20"/>
      <c r="KV37" s="20"/>
      <c r="KW37" s="20"/>
      <c r="KX37" s="62"/>
      <c r="KY37" s="62"/>
      <c r="LP37" s="20"/>
      <c r="LQ37" s="20"/>
      <c r="LR37" s="20"/>
      <c r="LS37" s="20"/>
      <c r="LT37" s="20"/>
      <c r="LU37" s="20"/>
      <c r="LV37" s="20"/>
      <c r="LW37" s="62"/>
      <c r="LX37" s="62"/>
      <c r="MO37" s="20"/>
      <c r="MP37" s="20"/>
      <c r="MQ37" s="20"/>
      <c r="MR37" s="20"/>
      <c r="MS37" s="20"/>
      <c r="MT37" s="20"/>
      <c r="MU37" s="20"/>
      <c r="MV37" s="62"/>
      <c r="MW37" s="62"/>
      <c r="NN37" s="20"/>
      <c r="NO37" s="20"/>
      <c r="NP37" s="20"/>
      <c r="NQ37" s="20"/>
      <c r="NR37" s="20"/>
      <c r="NS37" s="20"/>
      <c r="NT37" s="20"/>
      <c r="NU37" s="62"/>
      <c r="NV37" s="62"/>
      <c r="OM37" s="20"/>
      <c r="ON37" s="20"/>
      <c r="OO37" s="20"/>
      <c r="OP37" s="20"/>
      <c r="OQ37" s="20"/>
      <c r="OR37" s="20"/>
      <c r="OS37" s="20"/>
      <c r="OT37" s="62"/>
      <c r="OU37" s="62"/>
      <c r="PL37" s="20"/>
      <c r="PM37" s="20"/>
      <c r="PN37" s="20"/>
      <c r="PO37" s="20"/>
      <c r="PP37" s="20"/>
      <c r="PQ37" s="20"/>
      <c r="PR37" s="20"/>
      <c r="PS37" s="62"/>
      <c r="PT37" s="62"/>
      <c r="QK37" s="20"/>
      <c r="QL37" s="20"/>
      <c r="QM37" s="20"/>
      <c r="QN37" s="20"/>
      <c r="QO37" s="20"/>
      <c r="QP37" s="20"/>
      <c r="QQ37" s="20"/>
      <c r="QR37" s="62"/>
      <c r="QS37" s="62"/>
      <c r="RJ37" s="20"/>
      <c r="RK37" s="20"/>
      <c r="RL37" s="20"/>
      <c r="RM37" s="20"/>
      <c r="RN37" s="20"/>
      <c r="RO37" s="20"/>
      <c r="RP37" s="20"/>
      <c r="RQ37" s="62"/>
      <c r="RR37" s="62"/>
      <c r="SI37" s="20"/>
      <c r="SJ37" s="20"/>
      <c r="SK37" s="20"/>
      <c r="SL37" s="20"/>
      <c r="SM37" s="20"/>
      <c r="SN37" s="20"/>
      <c r="SO37" s="20"/>
      <c r="SP37" s="62"/>
      <c r="SQ37" s="62"/>
      <c r="TH37" s="20"/>
      <c r="TI37" s="20"/>
      <c r="TJ37" s="20"/>
      <c r="TK37" s="20"/>
      <c r="TL37" s="20"/>
      <c r="TM37" s="20"/>
      <c r="TN37" s="20"/>
      <c r="TO37" s="62"/>
      <c r="TP37" s="62"/>
      <c r="UG37" s="20"/>
      <c r="UH37" s="20"/>
      <c r="UI37" s="20"/>
      <c r="UJ37" s="20"/>
      <c r="UK37" s="20"/>
      <c r="UL37" s="20"/>
      <c r="UM37" s="20"/>
      <c r="UN37" s="62"/>
      <c r="UO37" s="62"/>
      <c r="VF37" s="20"/>
      <c r="VG37" s="20"/>
      <c r="VH37" s="20"/>
      <c r="VI37" s="20"/>
      <c r="VJ37" s="20"/>
      <c r="VK37" s="20"/>
      <c r="VL37" s="20"/>
      <c r="VM37" s="62"/>
      <c r="VN37" s="62"/>
      <c r="WE37" s="20"/>
      <c r="WF37" s="20"/>
      <c r="WG37" s="20"/>
      <c r="WH37" s="20"/>
      <c r="WI37" s="20"/>
      <c r="WJ37" s="20"/>
      <c r="WK37" s="20"/>
      <c r="WL37" s="62"/>
      <c r="WM37" s="62"/>
      <c r="XD37" s="20"/>
      <c r="XE37" s="20"/>
      <c r="XF37" s="20"/>
      <c r="XG37" s="20"/>
      <c r="XH37" s="20"/>
      <c r="XI37" s="20"/>
      <c r="XJ37" s="20"/>
      <c r="XK37" s="62"/>
      <c r="XL37" s="62"/>
      <c r="YC37" s="20"/>
      <c r="YD37" s="20"/>
      <c r="YE37" s="20"/>
      <c r="YF37" s="20"/>
      <c r="YG37" s="20"/>
      <c r="YH37" s="20"/>
      <c r="YI37" s="20"/>
      <c r="YJ37" s="62"/>
      <c r="YK37" s="62"/>
      <c r="ZB37" s="20"/>
      <c r="ZC37" s="20"/>
      <c r="ZD37" s="20"/>
      <c r="ZE37" s="20"/>
      <c r="ZF37" s="20"/>
      <c r="ZG37" s="20"/>
      <c r="ZH37" s="20"/>
      <c r="ZI37" s="62"/>
      <c r="ZJ37" s="62"/>
      <c r="AAA37" s="20"/>
      <c r="AAB37" s="20"/>
      <c r="AAC37" s="20"/>
      <c r="AAD37" s="20"/>
      <c r="AAE37" s="20"/>
      <c r="AAF37" s="20"/>
      <c r="AAG37" s="20"/>
      <c r="AAH37" s="62"/>
      <c r="AAI37" s="62"/>
      <c r="AAZ37" s="20"/>
      <c r="ABA37" s="20"/>
      <c r="ABB37" s="20"/>
      <c r="ABC37" s="20"/>
      <c r="ABD37" s="20"/>
      <c r="ABE37" s="20"/>
      <c r="ABF37" s="20"/>
      <c r="ABG37" s="62"/>
      <c r="ABH37" s="62"/>
      <c r="ABY37" s="20"/>
      <c r="ABZ37" s="20"/>
      <c r="ACA37" s="20"/>
      <c r="ACB37" s="20"/>
      <c r="ACC37" s="20"/>
      <c r="ACD37" s="20"/>
      <c r="ACE37" s="20"/>
      <c r="ACF37" s="62"/>
      <c r="ACG37" s="62"/>
      <c r="ACX37" s="20"/>
      <c r="ACY37" s="20"/>
      <c r="ACZ37" s="20"/>
      <c r="ADA37" s="20"/>
      <c r="ADB37" s="20"/>
      <c r="ADC37" s="20"/>
      <c r="ADD37" s="20"/>
      <c r="ADE37" s="62"/>
      <c r="ADF37" s="62"/>
      <c r="ADW37" s="20"/>
      <c r="ADX37" s="20"/>
      <c r="ADY37" s="20"/>
      <c r="ADZ37" s="20"/>
      <c r="AEA37" s="20"/>
      <c r="AEB37" s="20"/>
      <c r="AEC37" s="20"/>
      <c r="AED37" s="62"/>
      <c r="AEE37" s="62"/>
      <c r="AEV37" s="20"/>
      <c r="AEW37" s="20"/>
      <c r="AEX37" s="20"/>
      <c r="AEY37" s="20"/>
      <c r="AEZ37" s="20"/>
      <c r="AFA37" s="20"/>
      <c r="AFB37" s="20"/>
      <c r="AFC37" s="62"/>
      <c r="AFD37" s="62"/>
      <c r="AFU37" s="20"/>
      <c r="AFV37" s="20"/>
      <c r="AFW37" s="20"/>
      <c r="AFX37" s="20"/>
      <c r="AFY37" s="20"/>
      <c r="AFZ37" s="20"/>
      <c r="AGA37" s="20"/>
      <c r="AGB37" s="62"/>
      <c r="AGC37" s="62"/>
      <c r="AGT37" s="20"/>
      <c r="AGU37" s="20"/>
      <c r="AGV37" s="20"/>
      <c r="AGW37" s="20"/>
      <c r="AGX37" s="20"/>
      <c r="AGY37" s="20"/>
      <c r="AGZ37" s="20"/>
      <c r="AHA37" s="62"/>
      <c r="AHB37" s="62"/>
      <c r="AHS37" s="20"/>
      <c r="AHT37" s="20"/>
      <c r="AHU37" s="20"/>
      <c r="AHV37" s="20"/>
      <c r="AHW37" s="20"/>
      <c r="AHX37" s="20"/>
      <c r="AHY37" s="20"/>
      <c r="AHZ37" s="62"/>
      <c r="AIA37" s="62"/>
      <c r="AIR37" s="20"/>
      <c r="AIS37" s="20"/>
      <c r="AIT37" s="20"/>
      <c r="AIU37" s="20"/>
      <c r="AIV37" s="20"/>
      <c r="AIW37" s="20"/>
      <c r="AIX37" s="20"/>
      <c r="AIY37" s="62"/>
      <c r="AIZ37" s="62"/>
      <c r="AJQ37" s="20"/>
      <c r="AJR37" s="20"/>
      <c r="AJS37" s="20"/>
      <c r="AJT37" s="20"/>
      <c r="AJU37" s="20"/>
      <c r="AJV37" s="20"/>
      <c r="AJW37" s="20"/>
      <c r="AJX37" s="62"/>
      <c r="AJY37" s="62"/>
      <c r="AKP37" s="20"/>
      <c r="AKQ37" s="20"/>
      <c r="AKR37" s="20"/>
      <c r="AKS37" s="20"/>
      <c r="AKT37" s="20"/>
      <c r="AKU37" s="20"/>
      <c r="AKV37" s="20"/>
      <c r="AKW37" s="62"/>
      <c r="AKX37" s="62"/>
      <c r="ALO37" s="20"/>
      <c r="ALP37" s="20"/>
      <c r="ALQ37" s="20"/>
      <c r="ALR37" s="20"/>
      <c r="ALS37" s="20"/>
      <c r="ALT37" s="20"/>
      <c r="ALU37" s="20"/>
      <c r="ALV37" s="62"/>
      <c r="ALW37" s="62"/>
      <c r="AMN37" s="20"/>
      <c r="AMO37" s="20"/>
      <c r="AMP37" s="20"/>
      <c r="AMQ37" s="20"/>
      <c r="AMR37" s="20"/>
      <c r="AMS37" s="20"/>
      <c r="AMT37" s="20"/>
      <c r="AMU37" s="62"/>
      <c r="AMV37" s="62"/>
      <c r="ANM37" s="20"/>
      <c r="ANN37" s="20"/>
      <c r="ANO37" s="20"/>
      <c r="ANP37" s="20"/>
      <c r="ANQ37" s="20"/>
      <c r="ANR37" s="20"/>
      <c r="ANS37" s="20"/>
      <c r="ANT37" s="62"/>
      <c r="ANU37" s="62"/>
      <c r="AOL37" s="20"/>
      <c r="AOM37" s="20"/>
      <c r="AON37" s="20"/>
      <c r="AOO37" s="20"/>
      <c r="AOP37" s="20"/>
      <c r="AOQ37" s="20"/>
      <c r="AOR37" s="20"/>
      <c r="AOS37" s="62"/>
      <c r="AOT37" s="62"/>
      <c r="APK37" s="20"/>
      <c r="APL37" s="20"/>
      <c r="APM37" s="20"/>
      <c r="APN37" s="20"/>
      <c r="APO37" s="20"/>
      <c r="APP37" s="20"/>
      <c r="APQ37" s="20"/>
      <c r="APR37" s="62"/>
      <c r="APS37" s="62"/>
      <c r="AQJ37" s="20"/>
      <c r="AQK37" s="20"/>
      <c r="AQL37" s="20"/>
      <c r="AQM37" s="20"/>
      <c r="AQN37" s="20"/>
      <c r="AQO37" s="20"/>
      <c r="AQP37" s="20"/>
      <c r="AQQ37" s="62"/>
      <c r="AQR37" s="62"/>
      <c r="ARI37" s="20"/>
      <c r="ARJ37" s="20"/>
      <c r="ARK37" s="20"/>
      <c r="ARL37" s="20"/>
      <c r="ARM37" s="20"/>
      <c r="ARN37" s="20"/>
      <c r="ARO37" s="20"/>
      <c r="ARP37" s="62"/>
      <c r="ARQ37" s="62"/>
      <c r="ASH37" s="20"/>
      <c r="ASI37" s="20"/>
      <c r="ASJ37" s="20"/>
      <c r="ASK37" s="20"/>
      <c r="ASL37" s="20"/>
      <c r="ASM37" s="20"/>
      <c r="ASN37" s="20"/>
      <c r="ASO37" s="62"/>
      <c r="ASP37" s="62"/>
      <c r="ATG37" s="20"/>
      <c r="ATH37" s="20"/>
      <c r="ATI37" s="20"/>
      <c r="ATJ37" s="20"/>
      <c r="ATK37" s="20"/>
      <c r="ATL37" s="20"/>
      <c r="ATM37" s="20"/>
      <c r="ATN37" s="62"/>
      <c r="ATO37" s="62"/>
      <c r="AUF37" s="20"/>
      <c r="AUG37" s="20"/>
      <c r="AUH37" s="20"/>
      <c r="AUI37" s="20"/>
      <c r="AUJ37" s="20"/>
      <c r="AUK37" s="20"/>
      <c r="AUL37" s="20"/>
      <c r="AUM37" s="62"/>
      <c r="AUN37" s="62"/>
      <c r="AVE37" s="20"/>
      <c r="AVF37" s="20"/>
      <c r="AVG37" s="20"/>
      <c r="AVH37" s="20"/>
      <c r="AVI37" s="20"/>
      <c r="AVJ37" s="20"/>
      <c r="AVK37" s="20"/>
      <c r="AVL37" s="62"/>
      <c r="AVM37" s="62"/>
      <c r="AWD37" s="20"/>
      <c r="AWE37" s="20"/>
      <c r="AWF37" s="20"/>
      <c r="AWG37" s="20"/>
      <c r="AWH37" s="20"/>
      <c r="AWI37" s="20"/>
      <c r="AWJ37" s="20"/>
      <c r="AWK37" s="62"/>
      <c r="AWL37" s="62"/>
      <c r="AXC37" s="20"/>
      <c r="AXD37" s="20"/>
      <c r="AXE37" s="20"/>
      <c r="AXF37" s="20"/>
      <c r="AXG37" s="20"/>
      <c r="AXH37" s="20"/>
      <c r="AXI37" s="20"/>
      <c r="AXJ37" s="62"/>
      <c r="AXK37" s="62"/>
      <c r="AYB37" s="20"/>
      <c r="AYC37" s="20"/>
      <c r="AYD37" s="20"/>
      <c r="AYE37" s="20"/>
      <c r="AYF37" s="20"/>
      <c r="AYG37" s="20"/>
      <c r="AYH37" s="20"/>
      <c r="AYI37" s="62"/>
      <c r="AYJ37" s="62"/>
      <c r="AZA37" s="20"/>
      <c r="AZB37" s="20"/>
      <c r="AZC37" s="20"/>
      <c r="AZD37" s="20"/>
      <c r="AZE37" s="20"/>
      <c r="AZF37" s="20"/>
      <c r="AZG37" s="20"/>
      <c r="AZH37" s="62"/>
      <c r="AZI37" s="62"/>
      <c r="AZZ37" s="20"/>
      <c r="BAA37" s="20"/>
      <c r="BAB37" s="20"/>
      <c r="BAC37" s="20"/>
      <c r="BAD37" s="20"/>
      <c r="BAE37" s="20"/>
      <c r="BAF37" s="20"/>
      <c r="BAG37" s="62"/>
      <c r="BAH37" s="62"/>
      <c r="BAY37" s="20"/>
      <c r="BAZ37" s="20"/>
      <c r="BBA37" s="20"/>
      <c r="BBB37" s="20"/>
      <c r="BBC37" s="20"/>
      <c r="BBD37" s="20"/>
      <c r="BBE37" s="20"/>
      <c r="BBF37" s="62"/>
      <c r="BBG37" s="62"/>
      <c r="BBX37" s="20"/>
      <c r="BBY37" s="20"/>
      <c r="BBZ37" s="20"/>
      <c r="BCA37" s="20"/>
      <c r="BCB37" s="20"/>
      <c r="BCC37" s="20"/>
      <c r="BCD37" s="20"/>
      <c r="BCE37" s="62"/>
      <c r="BCF37" s="62"/>
      <c r="BCW37" s="20"/>
      <c r="BCX37" s="20"/>
      <c r="BCY37" s="20"/>
      <c r="BCZ37" s="20"/>
      <c r="BDA37" s="20"/>
      <c r="BDB37" s="20"/>
      <c r="BDC37" s="20"/>
      <c r="BDD37" s="62"/>
      <c r="BDE37" s="62"/>
      <c r="BDV37" s="20"/>
      <c r="BDW37" s="20"/>
      <c r="BDX37" s="20"/>
      <c r="BDY37" s="20"/>
      <c r="BDZ37" s="20"/>
      <c r="BEA37" s="20"/>
      <c r="BEB37" s="20"/>
      <c r="BEC37" s="62"/>
      <c r="BED37" s="62"/>
      <c r="BEU37" s="20"/>
      <c r="BEV37" s="20"/>
      <c r="BEW37" s="20"/>
      <c r="BEX37" s="20"/>
      <c r="BEY37" s="20"/>
      <c r="BEZ37" s="20"/>
      <c r="BFA37" s="20"/>
      <c r="BFB37" s="62"/>
      <c r="BFC37" s="62"/>
      <c r="BFT37" s="20"/>
      <c r="BFU37" s="20"/>
      <c r="BFV37" s="20"/>
      <c r="BFW37" s="20"/>
      <c r="BFX37" s="20"/>
      <c r="BFY37" s="20"/>
      <c r="BFZ37" s="20"/>
      <c r="BGA37" s="62"/>
      <c r="BGB37" s="62"/>
      <c r="BGS37" s="20"/>
      <c r="BGT37" s="20"/>
      <c r="BGU37" s="20"/>
      <c r="BGV37" s="20"/>
      <c r="BGW37" s="20"/>
      <c r="BGX37" s="20"/>
      <c r="BGY37" s="20"/>
      <c r="BGZ37" s="62"/>
      <c r="BHA37" s="62"/>
      <c r="BHR37" s="20"/>
      <c r="BHS37" s="20"/>
      <c r="BHT37" s="20"/>
      <c r="BHU37" s="20"/>
      <c r="BHV37" s="20"/>
      <c r="BHW37" s="20"/>
      <c r="BHX37" s="20"/>
      <c r="BHY37" s="62"/>
      <c r="BHZ37" s="62"/>
      <c r="BIQ37" s="20"/>
      <c r="BIR37" s="20"/>
      <c r="BIS37" s="20"/>
      <c r="BIT37" s="20"/>
      <c r="BIU37" s="20"/>
      <c r="BIV37" s="20"/>
      <c r="BIW37" s="20"/>
      <c r="BIX37" s="62"/>
      <c r="BIY37" s="62"/>
      <c r="BJP37" s="20"/>
      <c r="BJQ37" s="20"/>
      <c r="BJR37" s="20"/>
      <c r="BJS37" s="20"/>
      <c r="BJT37" s="20"/>
      <c r="BJU37" s="20"/>
      <c r="BJV37" s="20"/>
      <c r="BJW37" s="62"/>
      <c r="BJX37" s="62"/>
      <c r="BKO37" s="20"/>
      <c r="BKP37" s="20"/>
      <c r="BKQ37" s="20"/>
      <c r="BKR37" s="20"/>
      <c r="BKS37" s="20"/>
      <c r="BKT37" s="20"/>
      <c r="BKU37" s="20"/>
      <c r="BKV37" s="62"/>
      <c r="BKW37" s="62"/>
      <c r="BLN37" s="20"/>
      <c r="BLO37" s="20"/>
      <c r="BLP37" s="20"/>
      <c r="BLQ37" s="20"/>
      <c r="BLR37" s="20"/>
      <c r="BLS37" s="20"/>
      <c r="BLT37" s="20"/>
      <c r="BLU37" s="62"/>
      <c r="BLV37" s="62"/>
      <c r="BMM37" s="20"/>
      <c r="BMN37" s="20"/>
      <c r="BMO37" s="20"/>
      <c r="BMP37" s="20"/>
      <c r="BMQ37" s="20"/>
      <c r="BMR37" s="20"/>
      <c r="BMS37" s="20"/>
      <c r="BMT37" s="62"/>
      <c r="BMU37" s="62"/>
      <c r="BNL37" s="20"/>
      <c r="BNM37" s="20"/>
      <c r="BNN37" s="20"/>
      <c r="BNO37" s="20"/>
      <c r="BNP37" s="20"/>
      <c r="BNQ37" s="20"/>
      <c r="BNR37" s="20"/>
      <c r="BNS37" s="62"/>
      <c r="BNT37" s="62"/>
      <c r="BOK37" s="20"/>
      <c r="BOL37" s="20"/>
      <c r="BOM37" s="20"/>
      <c r="BON37" s="20"/>
      <c r="BOO37" s="20"/>
      <c r="BOP37" s="20"/>
      <c r="BOQ37" s="20"/>
      <c r="BOR37" s="62"/>
      <c r="BOS37" s="62"/>
      <c r="BPJ37" s="20"/>
      <c r="BPK37" s="20"/>
      <c r="BPL37" s="20"/>
      <c r="BPM37" s="20"/>
      <c r="BPN37" s="20"/>
      <c r="BPO37" s="20"/>
      <c r="BPP37" s="20"/>
      <c r="BPQ37" s="62"/>
      <c r="BPR37" s="62"/>
      <c r="BQI37" s="20"/>
      <c r="BQJ37" s="20"/>
      <c r="BQK37" s="20"/>
      <c r="BQL37" s="20"/>
      <c r="BQM37" s="20"/>
      <c r="BQN37" s="20"/>
      <c r="BQO37" s="20"/>
      <c r="BQP37" s="62"/>
      <c r="BQQ37" s="62"/>
      <c r="BRH37" s="20"/>
      <c r="BRI37" s="20"/>
      <c r="BRJ37" s="20"/>
      <c r="BRK37" s="20"/>
      <c r="BRL37" s="20"/>
      <c r="BRM37" s="20"/>
      <c r="BRN37" s="20"/>
      <c r="BRO37" s="62"/>
      <c r="BRP37" s="62"/>
      <c r="BSG37" s="20"/>
      <c r="BSH37" s="20"/>
      <c r="BSI37" s="20"/>
      <c r="BSJ37" s="20"/>
      <c r="BSK37" s="20"/>
      <c r="BSL37" s="20"/>
      <c r="BSM37" s="20"/>
      <c r="BSN37" s="62"/>
      <c r="BSO37" s="62"/>
      <c r="BTF37" s="20"/>
      <c r="BTG37" s="20"/>
      <c r="BTH37" s="20"/>
      <c r="BTI37" s="20"/>
      <c r="BTJ37" s="20"/>
      <c r="BTK37" s="20"/>
      <c r="BTL37" s="20"/>
      <c r="BTM37" s="62"/>
      <c r="BTN37" s="62"/>
      <c r="BUE37" s="20"/>
      <c r="BUF37" s="20"/>
      <c r="BUG37" s="20"/>
      <c r="BUH37" s="20"/>
      <c r="BUI37" s="20"/>
      <c r="BUJ37" s="20"/>
      <c r="BUK37" s="20"/>
      <c r="BUL37" s="62"/>
      <c r="BUM37" s="62"/>
      <c r="BVD37" s="20"/>
      <c r="BVE37" s="20"/>
      <c r="BVF37" s="20"/>
      <c r="BVG37" s="20"/>
      <c r="BVH37" s="20"/>
      <c r="BVI37" s="20"/>
      <c r="BVJ37" s="20"/>
      <c r="BVK37" s="62"/>
      <c r="BVL37" s="62"/>
      <c r="BWC37" s="20"/>
      <c r="BWD37" s="20"/>
      <c r="BWE37" s="20"/>
      <c r="BWF37" s="20"/>
      <c r="BWG37" s="20"/>
      <c r="BWH37" s="20"/>
      <c r="BWI37" s="20"/>
      <c r="BWJ37" s="62"/>
      <c r="BWK37" s="62"/>
      <c r="BXB37" s="20"/>
      <c r="BXC37" s="20"/>
      <c r="BXD37" s="20"/>
      <c r="BXE37" s="20"/>
      <c r="BXF37" s="20"/>
      <c r="BXG37" s="20"/>
      <c r="BXH37" s="20"/>
      <c r="BXI37" s="62"/>
      <c r="BXJ37" s="62"/>
      <c r="BYA37" s="20"/>
      <c r="BYB37" s="20"/>
      <c r="BYC37" s="20"/>
      <c r="BYD37" s="20"/>
      <c r="BYE37" s="20"/>
      <c r="BYF37" s="20"/>
      <c r="BYG37" s="20"/>
      <c r="BYH37" s="62"/>
      <c r="BYI37" s="62"/>
      <c r="BYZ37" s="20"/>
      <c r="BZA37" s="20"/>
      <c r="BZB37" s="20"/>
      <c r="BZC37" s="20"/>
      <c r="BZD37" s="20"/>
      <c r="BZE37" s="20"/>
      <c r="BZF37" s="20"/>
      <c r="BZG37" s="62"/>
      <c r="BZH37" s="62"/>
      <c r="BZY37" s="20"/>
      <c r="BZZ37" s="20"/>
      <c r="CAA37" s="20"/>
      <c r="CAB37" s="20"/>
      <c r="CAC37" s="20"/>
      <c r="CAD37" s="20"/>
      <c r="CAE37" s="20"/>
      <c r="CAF37" s="62"/>
      <c r="CAG37" s="62"/>
      <c r="CAX37" s="20"/>
      <c r="CAY37" s="20"/>
      <c r="CAZ37" s="20"/>
      <c r="CBA37" s="20"/>
      <c r="CBB37" s="20"/>
      <c r="CBC37" s="20"/>
      <c r="CBD37" s="20"/>
      <c r="CBE37" s="62"/>
      <c r="CBF37" s="62"/>
      <c r="CBW37" s="20"/>
      <c r="CBX37" s="20"/>
      <c r="CBY37" s="20"/>
      <c r="CBZ37" s="20"/>
      <c r="CCA37" s="20"/>
      <c r="CCB37" s="20"/>
      <c r="CCC37" s="20"/>
      <c r="CCD37" s="62"/>
      <c r="CCE37" s="62"/>
      <c r="CCV37" s="20"/>
      <c r="CCW37" s="20"/>
      <c r="CCX37" s="20"/>
      <c r="CCY37" s="20"/>
      <c r="CCZ37" s="20"/>
      <c r="CDA37" s="20"/>
      <c r="CDB37" s="20"/>
      <c r="CDC37" s="62"/>
      <c r="CDD37" s="62"/>
      <c r="CDU37" s="20"/>
      <c r="CDV37" s="20"/>
      <c r="CDW37" s="20"/>
      <c r="CDX37" s="20"/>
      <c r="CDY37" s="20"/>
      <c r="CDZ37" s="20"/>
      <c r="CEA37" s="20"/>
      <c r="CEB37" s="62"/>
      <c r="CEC37" s="62"/>
      <c r="CET37" s="20"/>
      <c r="CEU37" s="20"/>
      <c r="CEV37" s="20"/>
      <c r="CEW37" s="20"/>
      <c r="CEX37" s="20"/>
      <c r="CEY37" s="20"/>
      <c r="CEZ37" s="20"/>
      <c r="CFA37" s="62"/>
      <c r="CFB37" s="62"/>
      <c r="CFS37" s="20"/>
      <c r="CFT37" s="20"/>
      <c r="CFU37" s="20"/>
      <c r="CFV37" s="20"/>
      <c r="CFW37" s="20"/>
      <c r="CFX37" s="20"/>
      <c r="CFY37" s="20"/>
      <c r="CFZ37" s="62"/>
      <c r="CGA37" s="62"/>
      <c r="CGR37" s="20"/>
      <c r="CGS37" s="20"/>
      <c r="CGT37" s="20"/>
      <c r="CGU37" s="20"/>
      <c r="CGV37" s="20"/>
      <c r="CGW37" s="20"/>
      <c r="CGX37" s="20"/>
      <c r="CGY37" s="62"/>
      <c r="CGZ37" s="62"/>
      <c r="CHQ37" s="20"/>
      <c r="CHR37" s="20"/>
      <c r="CHS37" s="20"/>
      <c r="CHT37" s="20"/>
      <c r="CHU37" s="20"/>
      <c r="CHV37" s="20"/>
      <c r="CHW37" s="20"/>
      <c r="CHX37" s="62"/>
      <c r="CHY37" s="62"/>
      <c r="CIP37" s="20"/>
      <c r="CIQ37" s="20"/>
      <c r="CIR37" s="20"/>
      <c r="CIS37" s="20"/>
      <c r="CIT37" s="20"/>
      <c r="CIU37" s="20"/>
      <c r="CIV37" s="20"/>
      <c r="CIW37" s="62"/>
      <c r="CIX37" s="62"/>
      <c r="CJO37" s="20"/>
      <c r="CJP37" s="20"/>
      <c r="CJQ37" s="20"/>
      <c r="CJR37" s="20"/>
      <c r="CJS37" s="20"/>
      <c r="CJT37" s="20"/>
      <c r="CJU37" s="20"/>
      <c r="CJV37" s="62"/>
      <c r="CJW37" s="62"/>
      <c r="CKN37" s="20"/>
      <c r="CKO37" s="20"/>
      <c r="CKP37" s="20"/>
      <c r="CKQ37" s="20"/>
      <c r="CKR37" s="20"/>
      <c r="CKS37" s="20"/>
      <c r="CKT37" s="20"/>
      <c r="CKU37" s="62"/>
      <c r="CKV37" s="62"/>
      <c r="CLM37" s="20"/>
      <c r="CLN37" s="20"/>
      <c r="CLO37" s="20"/>
      <c r="CLP37" s="20"/>
      <c r="CLQ37" s="20"/>
      <c r="CLR37" s="20"/>
      <c r="CLS37" s="20"/>
      <c r="CLT37" s="62"/>
      <c r="CLU37" s="62"/>
      <c r="CML37" s="20"/>
      <c r="CMM37" s="20"/>
      <c r="CMN37" s="20"/>
      <c r="CMO37" s="20"/>
      <c r="CMP37" s="20"/>
      <c r="CMQ37" s="20"/>
      <c r="CMR37" s="20"/>
      <c r="CMS37" s="62"/>
      <c r="CMT37" s="62"/>
      <c r="CNK37" s="20"/>
      <c r="CNL37" s="20"/>
      <c r="CNM37" s="20"/>
      <c r="CNN37" s="20"/>
      <c r="CNO37" s="20"/>
      <c r="CNP37" s="20"/>
      <c r="CNQ37" s="20"/>
      <c r="CNR37" s="62"/>
      <c r="CNS37" s="62"/>
      <c r="COJ37" s="20"/>
      <c r="COK37" s="20"/>
      <c r="COL37" s="20"/>
      <c r="COM37" s="20"/>
      <c r="CON37" s="20"/>
      <c r="COO37" s="20"/>
      <c r="COP37" s="20"/>
      <c r="COQ37" s="62"/>
      <c r="COR37" s="62"/>
      <c r="CPI37" s="20"/>
      <c r="CPJ37" s="20"/>
      <c r="CPK37" s="20"/>
      <c r="CPL37" s="20"/>
      <c r="CPM37" s="20"/>
      <c r="CPN37" s="20"/>
      <c r="CPO37" s="20"/>
      <c r="CPP37" s="62"/>
      <c r="CPQ37" s="62"/>
      <c r="CQH37" s="20"/>
      <c r="CQI37" s="20"/>
      <c r="CQJ37" s="20"/>
      <c r="CQK37" s="20"/>
      <c r="CQL37" s="20"/>
      <c r="CQM37" s="20"/>
      <c r="CQN37" s="20"/>
      <c r="CQO37" s="62"/>
      <c r="CQP37" s="62"/>
      <c r="CRG37" s="20"/>
      <c r="CRH37" s="20"/>
      <c r="CRI37" s="20"/>
      <c r="CRJ37" s="20"/>
      <c r="CRK37" s="20"/>
      <c r="CRL37" s="20"/>
      <c r="CRM37" s="20"/>
      <c r="CRN37" s="62"/>
      <c r="CRO37" s="62"/>
      <c r="CSF37" s="20"/>
      <c r="CSG37" s="20"/>
      <c r="CSH37" s="20"/>
      <c r="CSI37" s="20"/>
      <c r="CSJ37" s="20"/>
      <c r="CSK37" s="20"/>
      <c r="CSL37" s="20"/>
      <c r="CSM37" s="62"/>
      <c r="CSN37" s="62"/>
      <c r="CTE37" s="20"/>
      <c r="CTF37" s="20"/>
      <c r="CTG37" s="20"/>
      <c r="CTH37" s="20"/>
      <c r="CTI37" s="20"/>
      <c r="CTJ37" s="20"/>
      <c r="CTK37" s="20"/>
      <c r="CTL37" s="62"/>
      <c r="CTM37" s="62"/>
      <c r="CUD37" s="20"/>
      <c r="CUE37" s="20"/>
      <c r="CUF37" s="20"/>
      <c r="CUG37" s="20"/>
      <c r="CUH37" s="20"/>
      <c r="CUI37" s="20"/>
      <c r="CUJ37" s="20"/>
      <c r="CUK37" s="62"/>
      <c r="CUL37" s="62"/>
      <c r="CVC37" s="20"/>
      <c r="CVD37" s="20"/>
      <c r="CVE37" s="20"/>
      <c r="CVF37" s="20"/>
      <c r="CVG37" s="20"/>
      <c r="CVH37" s="20"/>
      <c r="CVI37" s="20"/>
      <c r="CVJ37" s="62"/>
      <c r="CVK37" s="62"/>
      <c r="CWB37" s="20"/>
      <c r="CWC37" s="20"/>
      <c r="CWD37" s="20"/>
      <c r="CWE37" s="20"/>
      <c r="CWF37" s="20"/>
      <c r="CWG37" s="20"/>
      <c r="CWH37" s="20"/>
      <c r="CWI37" s="62"/>
      <c r="CWJ37" s="62"/>
      <c r="CXA37" s="20"/>
      <c r="CXB37" s="20"/>
      <c r="CXC37" s="20"/>
      <c r="CXD37" s="20"/>
      <c r="CXE37" s="20"/>
      <c r="CXF37" s="20"/>
      <c r="CXG37" s="20"/>
      <c r="CXH37" s="62"/>
      <c r="CXI37" s="62"/>
      <c r="CXZ37" s="20"/>
      <c r="CYA37" s="20"/>
      <c r="CYB37" s="20"/>
      <c r="CYC37" s="20"/>
      <c r="CYD37" s="20"/>
      <c r="CYE37" s="20"/>
      <c r="CYF37" s="20"/>
      <c r="CYG37" s="62"/>
      <c r="CYH37" s="62"/>
      <c r="CYY37" s="20"/>
      <c r="CYZ37" s="20"/>
      <c r="CZA37" s="20"/>
      <c r="CZB37" s="20"/>
      <c r="CZC37" s="20"/>
      <c r="CZD37" s="20"/>
      <c r="CZE37" s="20"/>
      <c r="CZF37" s="62"/>
      <c r="CZG37" s="62"/>
      <c r="CZX37" s="20"/>
      <c r="CZY37" s="20"/>
      <c r="CZZ37" s="20"/>
      <c r="DAA37" s="20"/>
      <c r="DAB37" s="20"/>
      <c r="DAC37" s="20"/>
      <c r="DAD37" s="20"/>
      <c r="DAE37" s="62"/>
      <c r="DAF37" s="62"/>
      <c r="DAW37" s="20"/>
      <c r="DAX37" s="20"/>
      <c r="DAY37" s="20"/>
      <c r="DAZ37" s="20"/>
      <c r="DBA37" s="20"/>
      <c r="DBB37" s="20"/>
      <c r="DBC37" s="20"/>
      <c r="DBD37" s="62"/>
      <c r="DBE37" s="62"/>
      <c r="DBV37" s="20"/>
      <c r="DBW37" s="20"/>
      <c r="DBX37" s="20"/>
      <c r="DBY37" s="20"/>
      <c r="DBZ37" s="20"/>
      <c r="DCA37" s="20"/>
      <c r="DCB37" s="20"/>
      <c r="DCC37" s="62"/>
      <c r="DCD37" s="62"/>
      <c r="DCU37" s="20"/>
      <c r="DCV37" s="20"/>
      <c r="DCW37" s="20"/>
      <c r="DCX37" s="20"/>
      <c r="DCY37" s="20"/>
      <c r="DCZ37" s="20"/>
      <c r="DDA37" s="20"/>
      <c r="DDB37" s="62"/>
      <c r="DDC37" s="62"/>
      <c r="DDT37" s="20"/>
      <c r="DDU37" s="20"/>
      <c r="DDV37" s="20"/>
      <c r="DDW37" s="20"/>
      <c r="DDX37" s="20"/>
      <c r="DDY37" s="20"/>
      <c r="DDZ37" s="20"/>
      <c r="DEA37" s="62"/>
      <c r="DEB37" s="62"/>
      <c r="DES37" s="20"/>
      <c r="DET37" s="20"/>
      <c r="DEU37" s="20"/>
      <c r="DEV37" s="20"/>
      <c r="DEW37" s="20"/>
      <c r="DEX37" s="20"/>
      <c r="DEY37" s="20"/>
      <c r="DEZ37" s="62"/>
      <c r="DFA37" s="62"/>
      <c r="DFR37" s="20"/>
      <c r="DFS37" s="20"/>
      <c r="DFT37" s="20"/>
      <c r="DFU37" s="20"/>
      <c r="DFV37" s="20"/>
      <c r="DFW37" s="20"/>
      <c r="DFX37" s="20"/>
      <c r="DFY37" s="62"/>
      <c r="DFZ37" s="62"/>
      <c r="DGQ37" s="20"/>
      <c r="DGR37" s="20"/>
      <c r="DGS37" s="20"/>
      <c r="DGT37" s="20"/>
      <c r="DGU37" s="20"/>
      <c r="DGV37" s="20"/>
      <c r="DGW37" s="20"/>
      <c r="DGX37" s="62"/>
      <c r="DGY37" s="62"/>
      <c r="DHP37" s="20"/>
      <c r="DHQ37" s="20"/>
      <c r="DHR37" s="20"/>
      <c r="DHS37" s="20"/>
      <c r="DHT37" s="20"/>
      <c r="DHU37" s="20"/>
      <c r="DHV37" s="20"/>
      <c r="DHW37" s="62"/>
      <c r="DHX37" s="62"/>
      <c r="DIO37" s="20"/>
      <c r="DIP37" s="20"/>
      <c r="DIQ37" s="20"/>
      <c r="DIR37" s="20"/>
      <c r="DIS37" s="20"/>
      <c r="DIT37" s="20"/>
      <c r="DIU37" s="20"/>
      <c r="DIV37" s="62"/>
      <c r="DIW37" s="62"/>
      <c r="DJN37" s="20"/>
      <c r="DJO37" s="20"/>
      <c r="DJP37" s="20"/>
      <c r="DJQ37" s="20"/>
      <c r="DJR37" s="20"/>
      <c r="DJS37" s="20"/>
      <c r="DJT37" s="20"/>
      <c r="DJU37" s="62"/>
      <c r="DJV37" s="62"/>
      <c r="DKM37" s="20"/>
      <c r="DKN37" s="20"/>
      <c r="DKO37" s="20"/>
      <c r="DKP37" s="20"/>
      <c r="DKQ37" s="20"/>
      <c r="DKR37" s="20"/>
      <c r="DKS37" s="20"/>
      <c r="DKT37" s="62"/>
      <c r="DKU37" s="62"/>
      <c r="DLL37" s="20"/>
      <c r="DLM37" s="20"/>
      <c r="DLN37" s="20"/>
      <c r="DLO37" s="20"/>
      <c r="DLP37" s="20"/>
      <c r="DLQ37" s="20"/>
      <c r="DLR37" s="20"/>
      <c r="DLS37" s="62"/>
      <c r="DLT37" s="62"/>
      <c r="DMK37" s="20"/>
      <c r="DML37" s="20"/>
      <c r="DMM37" s="20"/>
      <c r="DMN37" s="20"/>
      <c r="DMO37" s="20"/>
      <c r="DMP37" s="20"/>
      <c r="DMQ37" s="20"/>
      <c r="DMR37" s="62"/>
      <c r="DMS37" s="62"/>
      <c r="DNJ37" s="20"/>
      <c r="DNK37" s="20"/>
      <c r="DNL37" s="20"/>
      <c r="DNM37" s="20"/>
      <c r="DNN37" s="20"/>
      <c r="DNO37" s="20"/>
      <c r="DNP37" s="20"/>
      <c r="DNQ37" s="62"/>
      <c r="DNR37" s="62"/>
      <c r="DOI37" s="20"/>
      <c r="DOJ37" s="20"/>
      <c r="DOK37" s="20"/>
      <c r="DOL37" s="20"/>
      <c r="DOM37" s="20"/>
      <c r="DON37" s="20"/>
      <c r="DOO37" s="20"/>
      <c r="DOP37" s="62"/>
      <c r="DOQ37" s="62"/>
      <c r="DPH37" s="20"/>
      <c r="DPI37" s="20"/>
      <c r="DPJ37" s="20"/>
      <c r="DPK37" s="20"/>
      <c r="DPL37" s="20"/>
      <c r="DPM37" s="20"/>
      <c r="DPN37" s="20"/>
      <c r="DPO37" s="62"/>
      <c r="DPP37" s="62"/>
      <c r="DQG37" s="20"/>
      <c r="DQH37" s="20"/>
      <c r="DQI37" s="20"/>
      <c r="DQJ37" s="20"/>
      <c r="DQK37" s="20"/>
      <c r="DQL37" s="20"/>
      <c r="DQM37" s="20"/>
      <c r="DQN37" s="62"/>
      <c r="DQO37" s="62"/>
      <c r="DRF37" s="20"/>
      <c r="DRG37" s="20"/>
      <c r="DRH37" s="20"/>
      <c r="DRI37" s="20"/>
      <c r="DRJ37" s="20"/>
      <c r="DRK37" s="20"/>
      <c r="DRL37" s="20"/>
      <c r="DRM37" s="62"/>
      <c r="DRN37" s="62"/>
      <c r="DSE37" s="20"/>
      <c r="DSF37" s="20"/>
      <c r="DSG37" s="20"/>
      <c r="DSH37" s="20"/>
      <c r="DSI37" s="20"/>
      <c r="DSJ37" s="20"/>
      <c r="DSK37" s="20"/>
      <c r="DSL37" s="62"/>
      <c r="DSM37" s="62"/>
      <c r="DTD37" s="20"/>
      <c r="DTE37" s="20"/>
      <c r="DTF37" s="20"/>
      <c r="DTG37" s="20"/>
      <c r="DTH37" s="20"/>
      <c r="DTI37" s="20"/>
      <c r="DTJ37" s="20"/>
      <c r="DTK37" s="62"/>
      <c r="DTL37" s="62"/>
      <c r="DUC37" s="20"/>
      <c r="DUD37" s="20"/>
      <c r="DUE37" s="20"/>
      <c r="DUF37" s="20"/>
      <c r="DUG37" s="20"/>
      <c r="DUH37" s="20"/>
      <c r="DUI37" s="20"/>
      <c r="DUJ37" s="62"/>
      <c r="DUK37" s="62"/>
      <c r="DVB37" s="20"/>
      <c r="DVC37" s="20"/>
      <c r="DVD37" s="20"/>
      <c r="DVE37" s="20"/>
      <c r="DVF37" s="20"/>
      <c r="DVG37" s="20"/>
      <c r="DVH37" s="20"/>
      <c r="DVI37" s="62"/>
      <c r="DVJ37" s="62"/>
      <c r="DWA37" s="20"/>
      <c r="DWB37" s="20"/>
      <c r="DWC37" s="20"/>
      <c r="DWD37" s="20"/>
      <c r="DWE37" s="20"/>
      <c r="DWF37" s="20"/>
      <c r="DWG37" s="20"/>
      <c r="DWH37" s="62"/>
      <c r="DWI37" s="62"/>
      <c r="DWZ37" s="20"/>
      <c r="DXA37" s="20"/>
      <c r="DXB37" s="20"/>
      <c r="DXC37" s="20"/>
      <c r="DXD37" s="20"/>
      <c r="DXE37" s="20"/>
      <c r="DXF37" s="20"/>
      <c r="DXG37" s="62"/>
      <c r="DXH37" s="62"/>
      <c r="DXY37" s="20"/>
      <c r="DXZ37" s="20"/>
      <c r="DYA37" s="20"/>
      <c r="DYB37" s="20"/>
      <c r="DYC37" s="20"/>
      <c r="DYD37" s="20"/>
      <c r="DYE37" s="20"/>
      <c r="DYF37" s="62"/>
      <c r="DYG37" s="62"/>
      <c r="DYX37" s="20"/>
      <c r="DYY37" s="20"/>
      <c r="DYZ37" s="20"/>
      <c r="DZA37" s="20"/>
      <c r="DZB37" s="20"/>
      <c r="DZC37" s="20"/>
      <c r="DZD37" s="20"/>
      <c r="DZE37" s="62"/>
      <c r="DZF37" s="62"/>
      <c r="DZW37" s="20"/>
      <c r="DZX37" s="20"/>
      <c r="DZY37" s="20"/>
      <c r="DZZ37" s="20"/>
      <c r="EAA37" s="20"/>
      <c r="EAB37" s="20"/>
      <c r="EAC37" s="20"/>
      <c r="EAD37" s="62"/>
      <c r="EAE37" s="62"/>
      <c r="EAV37" s="20"/>
      <c r="EAW37" s="20"/>
      <c r="EAX37" s="20"/>
      <c r="EAY37" s="20"/>
      <c r="EAZ37" s="20"/>
      <c r="EBA37" s="20"/>
      <c r="EBB37" s="20"/>
      <c r="EBC37" s="62"/>
      <c r="EBD37" s="62"/>
      <c r="EBU37" s="20"/>
      <c r="EBV37" s="20"/>
      <c r="EBW37" s="20"/>
      <c r="EBX37" s="20"/>
      <c r="EBY37" s="20"/>
      <c r="EBZ37" s="20"/>
      <c r="ECA37" s="20"/>
      <c r="ECB37" s="62"/>
      <c r="ECC37" s="62"/>
      <c r="ECT37" s="20"/>
      <c r="ECU37" s="20"/>
      <c r="ECV37" s="20"/>
      <c r="ECW37" s="20"/>
      <c r="ECX37" s="20"/>
      <c r="ECY37" s="20"/>
      <c r="ECZ37" s="20"/>
      <c r="EDA37" s="62"/>
      <c r="EDB37" s="62"/>
      <c r="EDS37" s="20"/>
      <c r="EDT37" s="20"/>
      <c r="EDU37" s="20"/>
      <c r="EDV37" s="20"/>
      <c r="EDW37" s="20"/>
      <c r="EDX37" s="20"/>
      <c r="EDY37" s="20"/>
      <c r="EDZ37" s="62"/>
      <c r="EEA37" s="62"/>
      <c r="EER37" s="20"/>
      <c r="EES37" s="20"/>
      <c r="EET37" s="20"/>
      <c r="EEU37" s="20"/>
      <c r="EEV37" s="20"/>
      <c r="EEW37" s="20"/>
      <c r="EEX37" s="20"/>
      <c r="EEY37" s="62"/>
      <c r="EEZ37" s="62"/>
      <c r="EFQ37" s="20"/>
      <c r="EFR37" s="20"/>
      <c r="EFS37" s="20"/>
      <c r="EFT37" s="20"/>
      <c r="EFU37" s="20"/>
      <c r="EFV37" s="20"/>
      <c r="EFW37" s="20"/>
      <c r="EFX37" s="62"/>
      <c r="EFY37" s="62"/>
      <c r="EGP37" s="20"/>
      <c r="EGQ37" s="20"/>
      <c r="EGR37" s="20"/>
      <c r="EGS37" s="20"/>
      <c r="EGT37" s="20"/>
      <c r="EGU37" s="20"/>
      <c r="EGV37" s="20"/>
      <c r="EGW37" s="62"/>
      <c r="EGX37" s="62"/>
      <c r="EHO37" s="20"/>
      <c r="EHP37" s="20"/>
      <c r="EHQ37" s="20"/>
      <c r="EHR37" s="20"/>
      <c r="EHS37" s="20"/>
      <c r="EHT37" s="20"/>
      <c r="EHU37" s="20"/>
      <c r="EHV37" s="62"/>
      <c r="EHW37" s="62"/>
      <c r="EIN37" s="20"/>
      <c r="EIO37" s="20"/>
      <c r="EIP37" s="20"/>
      <c r="EIQ37" s="20"/>
      <c r="EIR37" s="20"/>
      <c r="EIS37" s="20"/>
      <c r="EIT37" s="20"/>
      <c r="EIU37" s="62"/>
      <c r="EIV37" s="62"/>
      <c r="EJM37" s="20"/>
      <c r="EJN37" s="20"/>
      <c r="EJO37" s="20"/>
      <c r="EJP37" s="20"/>
      <c r="EJQ37" s="20"/>
      <c r="EJR37" s="20"/>
      <c r="EJS37" s="20"/>
      <c r="EJT37" s="62"/>
      <c r="EJU37" s="62"/>
      <c r="EKL37" s="20"/>
      <c r="EKM37" s="20"/>
      <c r="EKN37" s="20"/>
      <c r="EKO37" s="20"/>
      <c r="EKP37" s="20"/>
      <c r="EKQ37" s="20"/>
      <c r="EKR37" s="20"/>
      <c r="EKS37" s="62"/>
      <c r="EKT37" s="62"/>
    </row>
    <row r="38" ht="20.25" customHeight="1">
      <c r="A38" s="20"/>
      <c r="B38" s="20"/>
      <c r="C38" s="20"/>
      <c r="D38" s="20"/>
      <c r="E38" s="20"/>
      <c r="F38" s="20"/>
      <c r="G38" s="20"/>
      <c r="H38" s="20"/>
      <c r="I38" s="21"/>
      <c r="J38" s="97"/>
    </row>
    <row r="39" ht="20.25" customHeight="1">
      <c r="A39" s="20"/>
      <c r="B39" s="20"/>
      <c r="C39" s="20"/>
      <c r="D39" s="20"/>
      <c r="E39" s="20"/>
      <c r="F39" s="20"/>
      <c r="G39" s="20"/>
      <c r="H39" s="20"/>
      <c r="I39" s="21"/>
      <c r="J39" s="97"/>
    </row>
    <row r="40" ht="20.25" customHeight="1">
      <c r="A40" s="20"/>
      <c r="B40" s="20"/>
      <c r="C40" s="20"/>
      <c r="D40" s="20"/>
      <c r="E40" s="20"/>
      <c r="F40" s="20"/>
      <c r="G40" s="20"/>
      <c r="H40" s="20"/>
      <c r="I40" s="21"/>
    </row>
    <row r="41" ht="20.25" customHeight="1">
      <c r="A41" s="20"/>
      <c r="B41" s="20"/>
      <c r="C41" s="20"/>
      <c r="D41" s="20"/>
      <c r="E41" s="20"/>
      <c r="F41" s="20"/>
      <c r="G41" s="20"/>
      <c r="H41" s="20"/>
      <c r="I41" s="21"/>
    </row>
    <row r="42" ht="20.25" customHeight="1">
      <c r="A42" s="20"/>
      <c r="B42" s="20"/>
      <c r="C42" s="20"/>
      <c r="D42" s="20"/>
      <c r="E42" s="20"/>
      <c r="F42" s="20"/>
      <c r="G42" s="20"/>
      <c r="H42" s="20"/>
      <c r="I42" s="21"/>
    </row>
    <row r="43" ht="20.25" customHeight="1">
      <c r="A43" s="20"/>
      <c r="B43" s="20"/>
      <c r="C43" s="20"/>
      <c r="D43" s="20"/>
      <c r="E43" s="20"/>
      <c r="F43" s="20"/>
      <c r="G43" s="20"/>
      <c r="H43" s="20"/>
      <c r="I43" s="21"/>
    </row>
    <row r="44" ht="20.25" customHeight="1">
      <c r="A44" s="20"/>
      <c r="B44" s="20"/>
      <c r="C44" s="20"/>
      <c r="D44" s="20"/>
      <c r="E44" s="20"/>
      <c r="F44" s="20"/>
      <c r="G44" s="20"/>
      <c r="H44" s="20"/>
      <c r="I44" s="21"/>
    </row>
    <row r="45" ht="20.25" customHeight="1">
      <c r="A45" s="20"/>
      <c r="B45" s="20"/>
      <c r="C45" s="20"/>
      <c r="D45" s="20"/>
      <c r="E45" s="20"/>
      <c r="F45" s="20"/>
      <c r="G45" s="20"/>
      <c r="H45" s="20"/>
      <c r="I45" s="21"/>
    </row>
    <row r="46" ht="20.25" customHeight="1">
      <c r="A46" s="20"/>
      <c r="B46" s="20"/>
      <c r="C46" s="20"/>
      <c r="D46" s="20"/>
      <c r="E46" s="20"/>
      <c r="F46" s="20"/>
      <c r="G46" s="20"/>
      <c r="H46" s="20"/>
      <c r="I46" s="21"/>
    </row>
    <row r="47" ht="20.25" customHeight="1">
      <c r="A47" s="20"/>
      <c r="B47" s="20"/>
      <c r="C47" s="20"/>
      <c r="D47" s="20"/>
      <c r="E47" s="20"/>
      <c r="F47" s="20"/>
      <c r="G47" s="20"/>
      <c r="H47" s="20"/>
      <c r="I47" s="21"/>
    </row>
    <row r="48" ht="20.25" customHeight="1">
      <c r="A48" s="20"/>
      <c r="B48" s="20"/>
      <c r="C48" s="20"/>
      <c r="D48" s="20"/>
      <c r="E48" s="20"/>
      <c r="F48" s="20"/>
      <c r="G48" s="20"/>
      <c r="H48" s="20"/>
      <c r="I48" s="21"/>
    </row>
    <row r="49" ht="20.25" customHeight="1">
      <c r="A49" s="20"/>
      <c r="B49" s="20"/>
      <c r="C49" s="20"/>
      <c r="D49" s="20"/>
      <c r="E49" s="20"/>
      <c r="F49" s="20"/>
      <c r="G49" s="20"/>
      <c r="H49" s="20"/>
      <c r="I49" s="21"/>
    </row>
    <row r="50" ht="20.25" customHeight="1">
      <c r="A50" s="20"/>
      <c r="B50" s="20"/>
      <c r="C50" s="20"/>
      <c r="D50" s="20"/>
      <c r="E50" s="20"/>
      <c r="F50" s="20"/>
      <c r="G50" s="20"/>
      <c r="H50" s="20"/>
      <c r="I50" s="21"/>
    </row>
    <row r="51" ht="20.25" customHeight="1">
      <c r="A51" s="20"/>
      <c r="B51" s="20"/>
      <c r="C51" s="20"/>
      <c r="D51" s="20"/>
      <c r="E51" s="20"/>
      <c r="F51" s="20"/>
      <c r="G51" s="20"/>
      <c r="H51" s="20"/>
      <c r="I51" s="21"/>
    </row>
    <row r="52" ht="20.25" customHeight="1">
      <c r="A52" s="20"/>
      <c r="B52" s="20"/>
      <c r="C52" s="20"/>
      <c r="D52" s="20"/>
      <c r="E52" s="20"/>
      <c r="F52" s="20"/>
      <c r="G52" s="20"/>
      <c r="H52" s="20"/>
      <c r="I52" s="21"/>
    </row>
    <row r="53" ht="20.25" customHeight="1">
      <c r="A53" s="20"/>
      <c r="B53" s="20"/>
      <c r="C53" s="20"/>
      <c r="D53" s="20"/>
      <c r="E53" s="20"/>
      <c r="F53" s="20"/>
      <c r="G53" s="20"/>
      <c r="H53" s="20"/>
      <c r="I53" s="21"/>
    </row>
    <row r="54" ht="20.25" customHeight="1">
      <c r="A54" s="20"/>
      <c r="B54" s="20"/>
      <c r="C54" s="20"/>
      <c r="D54" s="20"/>
      <c r="E54" s="20"/>
      <c r="F54" s="20"/>
      <c r="G54" s="20"/>
      <c r="H54" s="20"/>
      <c r="I54" s="21"/>
    </row>
    <row r="55" ht="20.25" customHeight="1">
      <c r="A55" s="20"/>
      <c r="B55" s="20"/>
      <c r="C55" s="20"/>
      <c r="D55" s="20"/>
      <c r="E55" s="20"/>
      <c r="F55" s="20"/>
      <c r="G55" s="20"/>
      <c r="H55" s="20"/>
      <c r="I55" s="21"/>
    </row>
    <row r="56" ht="20.25" customHeight="1">
      <c r="A56" s="20"/>
      <c r="B56" s="20"/>
      <c r="C56" s="20"/>
      <c r="D56" s="20"/>
      <c r="E56" s="20"/>
      <c r="F56" s="20"/>
      <c r="G56" s="20"/>
      <c r="H56" s="20"/>
      <c r="I56" s="21"/>
    </row>
    <row r="57" ht="20.25" customHeight="1">
      <c r="A57" s="20"/>
      <c r="B57" s="20"/>
      <c r="C57" s="20"/>
      <c r="D57" s="20"/>
      <c r="E57" s="20"/>
      <c r="F57" s="20"/>
      <c r="G57" s="20"/>
      <c r="H57" s="20"/>
      <c r="I57" s="21"/>
    </row>
    <row r="58" ht="20.25" customHeight="1">
      <c r="A58" s="20"/>
      <c r="B58" s="20"/>
      <c r="C58" s="20"/>
      <c r="D58" s="20"/>
      <c r="E58" s="20"/>
      <c r="F58" s="20"/>
      <c r="G58" s="20"/>
      <c r="H58" s="20"/>
      <c r="I58" s="21"/>
      <c r="J58" s="97"/>
    </row>
    <row r="59" ht="20.25" customHeight="1">
      <c r="A59" s="20"/>
      <c r="B59" s="20"/>
      <c r="C59" s="20"/>
      <c r="D59" s="20"/>
      <c r="E59" s="20"/>
      <c r="F59" s="20"/>
      <c r="G59" s="20"/>
      <c r="H59" s="20"/>
      <c r="I59" s="21"/>
      <c r="J59" s="97"/>
    </row>
    <row r="60" ht="20.25" customHeight="1">
      <c r="A60" s="20"/>
      <c r="B60" s="20"/>
      <c r="C60" s="20"/>
      <c r="D60" s="20"/>
      <c r="E60" s="20"/>
      <c r="F60" s="20"/>
      <c r="G60" s="20"/>
      <c r="H60" s="20"/>
      <c r="I60" s="21"/>
      <c r="J60" s="97"/>
    </row>
    <row r="61" ht="20.25" customHeight="1">
      <c r="A61" s="20"/>
      <c r="B61" s="20"/>
      <c r="C61" s="20"/>
      <c r="D61" s="20"/>
      <c r="E61" s="20"/>
      <c r="F61" s="20"/>
      <c r="G61" s="20"/>
      <c r="H61" s="20"/>
      <c r="I61" s="21"/>
    </row>
    <row r="62" ht="20.25" customHeight="1">
      <c r="A62" s="20"/>
      <c r="B62" s="20"/>
      <c r="C62" s="20"/>
      <c r="D62" s="20"/>
      <c r="E62" s="20"/>
      <c r="F62" s="20"/>
      <c r="G62" s="20"/>
      <c r="H62" s="20"/>
      <c r="I62" s="21"/>
    </row>
    <row r="63" ht="20.25" customHeight="1">
      <c r="A63" s="20"/>
      <c r="B63" s="20"/>
      <c r="C63" s="20"/>
      <c r="D63" s="20"/>
      <c r="E63" s="20"/>
      <c r="F63" s="20"/>
      <c r="G63" s="20"/>
      <c r="H63" s="20"/>
      <c r="I63" s="21"/>
    </row>
    <row r="64" ht="20.25" customHeight="1">
      <c r="A64" s="20"/>
      <c r="B64" s="20"/>
      <c r="C64" s="20"/>
      <c r="D64" s="20"/>
      <c r="E64" s="20"/>
      <c r="F64" s="20"/>
      <c r="G64" s="20"/>
      <c r="H64" s="20"/>
      <c r="I64" s="21"/>
    </row>
    <row r="65" ht="20.25" customHeight="1">
      <c r="A65" s="20"/>
      <c r="B65" s="20"/>
      <c r="C65" s="20"/>
      <c r="D65" s="20"/>
      <c r="E65" s="20"/>
      <c r="F65" s="20"/>
      <c r="G65" s="20"/>
      <c r="H65" s="20"/>
      <c r="I65" s="21"/>
    </row>
    <row r="66" ht="20.25" customHeight="1">
      <c r="A66" s="20"/>
      <c r="B66" s="20"/>
      <c r="C66" s="20"/>
      <c r="D66" s="20"/>
      <c r="E66" s="20"/>
      <c r="F66" s="20"/>
      <c r="G66" s="20"/>
      <c r="H66" s="20"/>
      <c r="I66" s="21"/>
    </row>
    <row r="67" ht="20.25" customHeight="1">
      <c r="A67" s="20"/>
      <c r="B67" s="20"/>
      <c r="C67" s="20"/>
      <c r="D67" s="20"/>
      <c r="E67" s="20"/>
      <c r="F67" s="20"/>
      <c r="G67" s="20"/>
      <c r="H67" s="20"/>
      <c r="I67" s="21"/>
    </row>
    <row r="68" ht="20.25" customHeight="1">
      <c r="A68" s="20"/>
      <c r="B68" s="20"/>
      <c r="C68" s="20"/>
      <c r="D68" s="20"/>
      <c r="E68" s="20"/>
      <c r="F68" s="20"/>
      <c r="G68" s="20"/>
      <c r="H68" s="62"/>
      <c r="I68" s="21"/>
    </row>
    <row r="69" ht="20.25" customHeight="1">
      <c r="A69" s="20"/>
      <c r="B69" s="20"/>
      <c r="C69" s="20"/>
      <c r="D69" s="20"/>
      <c r="E69" s="20"/>
      <c r="F69" s="20"/>
      <c r="G69" s="20"/>
      <c r="H69" s="20"/>
      <c r="I69" s="21"/>
    </row>
    <row r="70" ht="20.25" customHeight="1">
      <c r="A70" s="20"/>
      <c r="B70" s="20"/>
      <c r="C70" s="20"/>
      <c r="D70" s="20"/>
      <c r="E70" s="20"/>
      <c r="F70" s="20"/>
      <c r="G70" s="20"/>
      <c r="H70" s="20"/>
      <c r="I70" s="21"/>
    </row>
    <row r="71" ht="20.25" customHeight="1">
      <c r="A71" s="20"/>
      <c r="B71" s="20"/>
      <c r="C71" s="20"/>
      <c r="D71" s="20"/>
      <c r="E71" s="20"/>
      <c r="F71" s="20"/>
      <c r="G71" s="20"/>
      <c r="H71" s="20"/>
      <c r="I71" s="21"/>
    </row>
    <row r="72" ht="20.25" customHeight="1">
      <c r="A72" s="20"/>
      <c r="B72" s="20"/>
      <c r="C72" s="20"/>
      <c r="D72" s="20"/>
      <c r="E72" s="20"/>
      <c r="F72" s="20"/>
      <c r="G72" s="20"/>
      <c r="H72" s="20"/>
      <c r="I72" s="21"/>
    </row>
    <row r="73" ht="20.25" customHeight="1">
      <c r="A73" s="20"/>
      <c r="B73" s="20"/>
      <c r="C73" s="20"/>
      <c r="D73" s="20"/>
      <c r="E73" s="20"/>
      <c r="F73" s="20"/>
      <c r="G73" s="20"/>
      <c r="H73" s="20"/>
      <c r="I73" s="21"/>
      <c r="J73" s="97"/>
    </row>
    <row r="74" ht="20.25" customHeight="1">
      <c r="A74" s="20"/>
      <c r="B74" s="20"/>
      <c r="C74" s="20"/>
      <c r="D74" s="20"/>
      <c r="E74" s="20"/>
      <c r="F74" s="20"/>
      <c r="G74" s="20"/>
      <c r="H74" s="20"/>
      <c r="I74" s="21"/>
      <c r="J74" s="97"/>
    </row>
    <row r="75" ht="20.25" customHeight="1">
      <c r="A75" s="20"/>
      <c r="B75" s="20"/>
      <c r="C75" s="20"/>
      <c r="D75" s="20"/>
      <c r="E75" s="20"/>
      <c r="F75" s="20"/>
      <c r="G75" s="20"/>
      <c r="H75" s="20"/>
      <c r="I75" s="21"/>
    </row>
    <row r="76" ht="20.25" customHeight="1">
      <c r="A76" s="20"/>
      <c r="B76" s="20"/>
      <c r="C76" s="20"/>
      <c r="D76" s="20"/>
      <c r="E76" s="20"/>
      <c r="F76" s="20"/>
      <c r="G76" s="20"/>
      <c r="H76" s="20"/>
      <c r="I76" s="21"/>
      <c r="J76" s="97"/>
    </row>
    <row r="77" ht="20.25" customHeight="1">
      <c r="A77" s="20"/>
      <c r="B77" s="20"/>
      <c r="C77" s="20"/>
      <c r="D77" s="20"/>
      <c r="E77" s="20"/>
      <c r="F77" s="20"/>
      <c r="G77" s="20"/>
      <c r="H77" s="20"/>
      <c r="I77" s="21"/>
    </row>
    <row r="78" ht="20.25" customHeight="1">
      <c r="A78" s="20"/>
      <c r="B78" s="20"/>
      <c r="C78" s="20"/>
      <c r="D78" s="20"/>
      <c r="E78" s="20"/>
      <c r="F78" s="20"/>
      <c r="G78" s="20"/>
      <c r="H78" s="20"/>
      <c r="I78" s="21"/>
      <c r="J78" s="97"/>
    </row>
    <row r="79" ht="20.25" customHeight="1">
      <c r="A79" s="20"/>
      <c r="B79" s="20"/>
      <c r="C79" s="20"/>
      <c r="D79" s="20"/>
      <c r="E79" s="20"/>
      <c r="F79" s="20"/>
      <c r="G79" s="20"/>
      <c r="H79" s="20"/>
      <c r="I79" s="21"/>
    </row>
    <row r="80" ht="20.25" customHeight="1">
      <c r="A80" s="20"/>
      <c r="B80" s="20"/>
      <c r="C80" s="20"/>
      <c r="D80" s="20"/>
      <c r="E80" s="20"/>
      <c r="F80" s="20"/>
      <c r="G80" s="20"/>
      <c r="H80" s="20"/>
      <c r="I80" s="21"/>
    </row>
    <row r="81" ht="20.25" customHeight="1">
      <c r="A81" s="20"/>
      <c r="B81" s="20"/>
      <c r="C81" s="20"/>
      <c r="D81" s="20"/>
      <c r="E81" s="20"/>
      <c r="F81" s="20"/>
      <c r="G81" s="20"/>
      <c r="H81" s="20"/>
      <c r="I81" s="21"/>
    </row>
    <row r="82" ht="20.25" customHeight="1">
      <c r="A82" s="20"/>
      <c r="B82" s="20"/>
      <c r="C82" s="20"/>
      <c r="D82" s="20"/>
      <c r="E82" s="20"/>
      <c r="F82" s="20"/>
      <c r="G82" s="20"/>
      <c r="H82" s="20"/>
      <c r="I82" s="21"/>
    </row>
    <row r="83" ht="20.25" customHeight="1">
      <c r="A83" s="20"/>
      <c r="B83" s="20"/>
      <c r="C83" s="20"/>
      <c r="D83" s="20"/>
      <c r="E83" s="20"/>
      <c r="F83" s="20"/>
      <c r="G83" s="20"/>
      <c r="H83" s="20"/>
      <c r="I83" s="21"/>
      <c r="J83" s="97"/>
    </row>
    <row r="84" ht="20.25" customHeight="1">
      <c r="A84" s="20"/>
      <c r="B84" s="20"/>
      <c r="C84" s="20"/>
      <c r="D84" s="20"/>
      <c r="E84" s="20"/>
      <c r="F84" s="20"/>
      <c r="G84" s="20"/>
      <c r="H84" s="20"/>
      <c r="I84" s="21"/>
      <c r="J84" s="97"/>
    </row>
    <row r="85" ht="20.25" customHeight="1">
      <c r="A85" s="20"/>
      <c r="B85" s="20"/>
      <c r="C85" s="20"/>
      <c r="D85" s="20"/>
      <c r="E85" s="20"/>
      <c r="F85" s="20"/>
      <c r="G85" s="20"/>
      <c r="H85" s="20"/>
      <c r="I85" s="21"/>
      <c r="J85" s="97"/>
    </row>
    <row r="86" ht="20.25" customHeight="1">
      <c r="A86" s="20"/>
      <c r="B86" s="20"/>
      <c r="C86" s="20"/>
      <c r="D86" s="20"/>
      <c r="E86" s="20"/>
      <c r="F86" s="20"/>
      <c r="G86" s="20"/>
      <c r="H86" s="20"/>
      <c r="I86" s="21"/>
    </row>
    <row r="87" ht="20.25" customHeight="1">
      <c r="A87" s="20"/>
      <c r="B87" s="20"/>
      <c r="C87" s="20"/>
      <c r="D87" s="20"/>
      <c r="E87" s="20"/>
      <c r="F87" s="20"/>
      <c r="G87" s="20"/>
      <c r="H87" s="20"/>
      <c r="I87" s="21"/>
    </row>
    <row r="88" ht="20.25" customHeight="1">
      <c r="A88" s="20"/>
      <c r="B88" s="20"/>
      <c r="C88" s="20"/>
      <c r="D88" s="20"/>
      <c r="E88" s="20"/>
      <c r="F88" s="20"/>
      <c r="G88" s="20"/>
      <c r="H88" s="20"/>
      <c r="I88" s="21"/>
    </row>
    <row r="89" ht="20.25" customHeight="1">
      <c r="A89" s="20"/>
      <c r="B89" s="20"/>
      <c r="C89" s="20"/>
      <c r="D89" s="20"/>
      <c r="E89" s="20"/>
      <c r="F89" s="20"/>
      <c r="G89" s="20"/>
      <c r="H89" s="20"/>
      <c r="I89" s="21"/>
    </row>
    <row r="90" ht="20.25" customHeight="1">
      <c r="A90" s="20"/>
      <c r="B90" s="20"/>
      <c r="C90" s="20"/>
      <c r="D90" s="20"/>
      <c r="E90" s="20"/>
      <c r="F90" s="20"/>
      <c r="G90" s="20"/>
      <c r="H90" s="20"/>
      <c r="I90" s="21"/>
    </row>
    <row r="91" ht="20.25" customHeight="1">
      <c r="A91" s="20"/>
      <c r="B91" s="20"/>
      <c r="C91" s="20"/>
      <c r="D91" s="20"/>
      <c r="E91" s="20"/>
      <c r="F91" s="20"/>
      <c r="G91" s="20"/>
      <c r="H91" s="20"/>
      <c r="I91" s="21"/>
    </row>
    <row r="92" ht="20.25" customHeight="1">
      <c r="A92" s="20"/>
      <c r="B92" s="20"/>
      <c r="C92" s="20"/>
      <c r="D92" s="20"/>
      <c r="E92" s="20"/>
      <c r="F92" s="20"/>
      <c r="G92" s="20"/>
      <c r="H92" s="20"/>
      <c r="I92" s="21"/>
    </row>
    <row r="93" ht="20.25" customHeight="1">
      <c r="A93" s="20"/>
      <c r="B93" s="20"/>
      <c r="C93" s="20"/>
      <c r="D93" s="20"/>
      <c r="E93" s="20"/>
      <c r="F93" s="20"/>
      <c r="G93" s="20"/>
      <c r="H93" s="20"/>
      <c r="I93" s="21"/>
    </row>
    <row r="94" ht="20.25" customHeight="1">
      <c r="A94" s="20"/>
      <c r="B94" s="20"/>
      <c r="C94" s="20"/>
      <c r="D94" s="20"/>
      <c r="E94" s="20"/>
      <c r="F94" s="20"/>
      <c r="G94" s="20"/>
      <c r="H94" s="20"/>
      <c r="I94" s="21"/>
    </row>
    <row r="95" ht="20.25" customHeight="1">
      <c r="A95" s="20"/>
      <c r="B95" s="20"/>
      <c r="C95" s="20"/>
      <c r="D95" s="20"/>
      <c r="E95" s="20"/>
      <c r="F95" s="20"/>
      <c r="G95" s="20"/>
      <c r="H95" s="20"/>
      <c r="I95" s="21"/>
    </row>
    <row r="96" ht="20.25" customHeight="1">
      <c r="A96" s="20"/>
      <c r="B96" s="20"/>
      <c r="C96" s="20"/>
      <c r="D96" s="20"/>
      <c r="E96" s="20"/>
      <c r="F96" s="20"/>
      <c r="G96" s="20"/>
      <c r="H96" s="20"/>
      <c r="I96" s="21"/>
    </row>
    <row r="97" ht="20.25" customHeight="1">
      <c r="A97" s="20"/>
      <c r="B97" s="20"/>
      <c r="C97" s="20"/>
      <c r="D97" s="20"/>
      <c r="E97" s="20"/>
      <c r="F97" s="20"/>
      <c r="G97" s="20"/>
      <c r="H97" s="20"/>
      <c r="I97" s="21"/>
    </row>
    <row r="98" ht="20.25" customHeight="1">
      <c r="A98" s="20"/>
      <c r="B98" s="20"/>
      <c r="C98" s="20"/>
      <c r="D98" s="20"/>
      <c r="E98" s="20"/>
      <c r="F98" s="20"/>
      <c r="G98" s="20"/>
      <c r="H98" s="20"/>
      <c r="I98" s="21"/>
    </row>
    <row r="99" ht="20.25" customHeight="1">
      <c r="A99" s="20"/>
      <c r="B99" s="20"/>
      <c r="C99" s="20"/>
      <c r="D99" s="20"/>
      <c r="E99" s="20"/>
      <c r="F99" s="20"/>
      <c r="G99" s="20"/>
      <c r="H99" s="20"/>
      <c r="I99" s="21"/>
    </row>
    <row r="100" ht="20.25" customHeight="1">
      <c r="A100" s="20"/>
      <c r="B100" s="20"/>
      <c r="C100" s="20"/>
      <c r="D100" s="20"/>
      <c r="E100" s="20"/>
      <c r="F100" s="20"/>
      <c r="G100" s="20"/>
      <c r="H100" s="20"/>
      <c r="I100" s="21"/>
    </row>
    <row r="101" ht="20.25" customHeight="1">
      <c r="A101" s="20"/>
      <c r="B101" s="20"/>
      <c r="C101" s="20"/>
      <c r="D101" s="20"/>
      <c r="E101" s="20"/>
      <c r="F101" s="20"/>
      <c r="G101" s="20"/>
      <c r="H101" s="20"/>
      <c r="I101" s="21"/>
    </row>
    <row r="102" ht="20.25" customHeight="1">
      <c r="A102" s="20"/>
      <c r="B102" s="20"/>
      <c r="C102" s="20"/>
      <c r="D102" s="20"/>
      <c r="E102" s="20"/>
      <c r="F102" s="20"/>
      <c r="G102" s="20"/>
      <c r="H102" s="20"/>
      <c r="I102" s="21"/>
    </row>
    <row r="103" ht="20.25" customHeight="1">
      <c r="A103" s="20"/>
      <c r="B103" s="20"/>
      <c r="C103" s="20"/>
      <c r="D103" s="20"/>
      <c r="E103" s="20"/>
      <c r="F103" s="20"/>
      <c r="G103" s="20"/>
      <c r="H103" s="20"/>
      <c r="I103" s="21"/>
    </row>
    <row r="104" ht="20.25" customHeight="1">
      <c r="A104" s="20"/>
      <c r="B104" s="20"/>
      <c r="C104" s="20"/>
      <c r="D104" s="20"/>
      <c r="E104" s="20"/>
      <c r="F104" s="20"/>
      <c r="G104" s="20"/>
      <c r="H104" s="20"/>
      <c r="I104" s="21"/>
    </row>
    <row r="105" ht="20.25" customHeight="1">
      <c r="A105" s="20"/>
      <c r="B105" s="20"/>
      <c r="C105" s="20"/>
      <c r="D105" s="20"/>
      <c r="E105" s="20"/>
      <c r="F105" s="20"/>
      <c r="G105" s="20"/>
      <c r="H105" s="20"/>
      <c r="I105" s="21"/>
    </row>
    <row r="106" ht="20.25" customHeight="1">
      <c r="A106" s="20"/>
      <c r="B106" s="20"/>
      <c r="C106" s="20"/>
      <c r="D106" s="20"/>
      <c r="E106" s="20"/>
      <c r="F106" s="20"/>
      <c r="G106" s="20"/>
      <c r="H106" s="20"/>
      <c r="I106" s="21"/>
    </row>
    <row r="107" ht="20.25" customHeight="1">
      <c r="A107" s="20"/>
      <c r="B107" s="20"/>
      <c r="C107" s="20"/>
      <c r="D107" s="20"/>
      <c r="E107" s="20"/>
      <c r="F107" s="20"/>
      <c r="G107" s="20"/>
      <c r="H107" s="20"/>
      <c r="I107" s="21"/>
    </row>
    <row r="108" ht="20.25" customHeight="1">
      <c r="A108" s="20"/>
      <c r="B108" s="20"/>
      <c r="C108" s="20"/>
      <c r="D108" s="20"/>
      <c r="E108" s="20"/>
      <c r="F108" s="20"/>
      <c r="G108" s="20"/>
      <c r="H108" s="20"/>
      <c r="I108" s="21"/>
      <c r="J108" s="97"/>
    </row>
    <row r="109" ht="20.25" customHeight="1">
      <c r="A109" s="20"/>
      <c r="B109" s="20"/>
      <c r="C109" s="20"/>
      <c r="D109" s="20"/>
      <c r="E109" s="20"/>
      <c r="F109" s="20"/>
      <c r="G109" s="20"/>
      <c r="H109" s="20"/>
      <c r="I109" s="21"/>
      <c r="J109" s="97"/>
    </row>
    <row r="110" ht="20.25" customHeight="1">
      <c r="A110" s="20"/>
      <c r="B110" s="20"/>
      <c r="C110" s="20"/>
      <c r="D110" s="20"/>
      <c r="E110" s="20"/>
      <c r="F110" s="20"/>
      <c r="G110" s="20"/>
      <c r="H110" s="20"/>
      <c r="I110" s="21"/>
    </row>
    <row r="111" ht="20.25" customHeight="1">
      <c r="A111" s="20"/>
      <c r="B111" s="20"/>
      <c r="C111" s="20"/>
      <c r="D111" s="20"/>
      <c r="E111" s="20"/>
      <c r="F111" s="20"/>
      <c r="G111" s="20"/>
      <c r="H111" s="20"/>
      <c r="I111" s="21"/>
    </row>
    <row r="112" ht="20.25" customHeight="1">
      <c r="A112" s="20"/>
      <c r="B112" s="20"/>
      <c r="C112" s="20"/>
      <c r="D112" s="20"/>
      <c r="E112" s="20"/>
      <c r="F112" s="20"/>
      <c r="G112" s="20"/>
      <c r="H112" s="20"/>
      <c r="I112" s="21"/>
      <c r="J112" s="97"/>
    </row>
    <row r="113" ht="20.25" customHeight="1">
      <c r="A113" s="20"/>
      <c r="B113" s="20"/>
      <c r="C113" s="20"/>
      <c r="D113" s="20"/>
      <c r="E113" s="20"/>
      <c r="F113" s="20"/>
      <c r="G113" s="20"/>
      <c r="H113" s="20"/>
      <c r="I113" s="21"/>
      <c r="J113" s="97"/>
    </row>
    <row r="114" ht="20.25" customHeight="1">
      <c r="A114" s="20"/>
      <c r="B114" s="20"/>
      <c r="C114" s="20"/>
      <c r="D114" s="20"/>
      <c r="E114" s="20"/>
      <c r="F114" s="20"/>
      <c r="G114" s="20"/>
      <c r="H114" s="20"/>
      <c r="I114" s="21"/>
    </row>
    <row r="115" ht="20.25" customHeight="1">
      <c r="A115" s="20"/>
      <c r="B115" s="20"/>
      <c r="C115" s="20"/>
      <c r="D115" s="20"/>
      <c r="E115" s="20"/>
      <c r="F115" s="20"/>
      <c r="G115" s="20"/>
      <c r="H115" s="20"/>
      <c r="I115" s="21"/>
      <c r="J115" s="97"/>
    </row>
    <row r="116" ht="20.25" customHeight="1">
      <c r="A116" s="20"/>
      <c r="B116" s="20"/>
      <c r="C116" s="20"/>
      <c r="D116" s="20"/>
      <c r="E116" s="20"/>
      <c r="F116" s="20"/>
      <c r="G116" s="20"/>
      <c r="H116" s="20"/>
      <c r="I116" s="21"/>
    </row>
    <row r="117" ht="20.25" customHeight="1">
      <c r="A117" s="20"/>
      <c r="B117" s="20"/>
      <c r="C117" s="20"/>
      <c r="D117" s="20"/>
      <c r="E117" s="20"/>
      <c r="F117" s="20"/>
      <c r="G117" s="20"/>
      <c r="H117" s="20"/>
      <c r="I117" s="21"/>
      <c r="J117" s="97"/>
    </row>
    <row r="118" ht="20.25" customHeight="1">
      <c r="A118" s="20"/>
      <c r="B118" s="20"/>
      <c r="C118" s="20"/>
      <c r="D118" s="20"/>
      <c r="E118" s="20"/>
      <c r="F118" s="20"/>
      <c r="G118" s="20"/>
      <c r="H118" s="20"/>
      <c r="I118" s="21"/>
    </row>
    <row r="119" ht="20.25" customHeight="1">
      <c r="A119" s="20"/>
      <c r="B119" s="20"/>
      <c r="C119" s="20"/>
      <c r="D119" s="20"/>
      <c r="E119" s="20"/>
      <c r="F119" s="20"/>
      <c r="G119" s="20"/>
      <c r="H119" s="20"/>
      <c r="I119" s="21"/>
      <c r="J119" s="97"/>
    </row>
    <row r="120" ht="20.25" customHeight="1">
      <c r="A120" s="20"/>
      <c r="B120" s="20"/>
      <c r="C120" s="20"/>
      <c r="D120" s="20"/>
      <c r="E120" s="20"/>
      <c r="F120" s="20"/>
      <c r="G120" s="20"/>
      <c r="H120" s="20"/>
      <c r="I120" s="21"/>
      <c r="J120" s="97"/>
    </row>
    <row r="121" ht="20.25" customHeight="1">
      <c r="A121" s="20"/>
      <c r="B121" s="20"/>
      <c r="C121" s="20"/>
      <c r="D121" s="20"/>
      <c r="E121" s="20"/>
      <c r="F121" s="20"/>
      <c r="G121" s="20"/>
      <c r="H121" s="20"/>
      <c r="I121" s="21"/>
      <c r="J121" s="97"/>
    </row>
    <row r="122" ht="20.25" customHeight="1">
      <c r="A122" s="20"/>
      <c r="B122" s="20"/>
      <c r="C122" s="20"/>
      <c r="D122" s="20"/>
      <c r="E122" s="20"/>
      <c r="F122" s="20"/>
      <c r="G122" s="20"/>
      <c r="H122" s="20"/>
      <c r="I122" s="21"/>
      <c r="J122" s="97"/>
    </row>
    <row r="123" ht="20.25" customHeight="1">
      <c r="A123" s="20"/>
      <c r="B123" s="20"/>
      <c r="C123" s="20"/>
      <c r="D123" s="20"/>
      <c r="E123" s="20"/>
      <c r="F123" s="20"/>
      <c r="G123" s="20"/>
      <c r="H123" s="20"/>
      <c r="I123" s="21"/>
      <c r="J123" s="97"/>
    </row>
    <row r="124" ht="20.25" customHeight="1">
      <c r="A124" s="20"/>
      <c r="B124" s="20"/>
      <c r="C124" s="20"/>
      <c r="D124" s="20"/>
      <c r="E124" s="20"/>
      <c r="F124" s="20"/>
      <c r="G124" s="20"/>
      <c r="H124" s="20"/>
      <c r="I124" s="21"/>
      <c r="J124" s="97"/>
    </row>
    <row r="125" ht="20.25" customHeight="1">
      <c r="A125" s="20"/>
      <c r="B125" s="20"/>
      <c r="C125" s="20"/>
      <c r="D125" s="20"/>
      <c r="E125" s="20"/>
      <c r="F125" s="20"/>
      <c r="G125" s="20"/>
      <c r="H125" s="20"/>
      <c r="I125" s="21"/>
    </row>
    <row r="126" ht="20.25" customHeight="1">
      <c r="A126" s="20"/>
      <c r="B126" s="20"/>
      <c r="C126" s="20"/>
      <c r="D126" s="20"/>
      <c r="E126" s="20"/>
      <c r="F126" s="20"/>
      <c r="G126" s="20"/>
      <c r="H126" s="20"/>
      <c r="I126" s="21"/>
    </row>
    <row r="127" ht="20.25" customHeight="1">
      <c r="A127" s="20"/>
      <c r="B127" s="20"/>
      <c r="C127" s="20"/>
      <c r="D127" s="20"/>
      <c r="E127" s="20"/>
      <c r="F127" s="20"/>
      <c r="G127" s="20"/>
      <c r="H127" s="20"/>
      <c r="I127" s="21"/>
      <c r="J127" s="97"/>
    </row>
    <row r="128" ht="20.25" customHeight="1">
      <c r="A128" s="20"/>
      <c r="B128" s="20"/>
      <c r="C128" s="20"/>
      <c r="D128" s="20"/>
      <c r="E128" s="20"/>
      <c r="F128" s="20"/>
      <c r="G128" s="20"/>
      <c r="H128" s="20"/>
      <c r="I128" s="21"/>
      <c r="J128" s="97"/>
    </row>
    <row r="129" ht="20.25" customHeight="1">
      <c r="A129" s="20"/>
      <c r="B129" s="20"/>
      <c r="C129" s="20"/>
      <c r="D129" s="20"/>
      <c r="E129" s="20"/>
      <c r="F129" s="20"/>
      <c r="G129" s="20"/>
      <c r="H129" s="20"/>
      <c r="I129" s="21"/>
      <c r="J129" s="97"/>
    </row>
    <row r="130" ht="20.25" customHeight="1">
      <c r="A130" s="20"/>
      <c r="B130" s="20"/>
      <c r="C130" s="20"/>
      <c r="D130" s="20"/>
      <c r="E130" s="20"/>
      <c r="F130" s="20"/>
      <c r="G130" s="20"/>
      <c r="H130" s="20"/>
      <c r="I130" s="21"/>
    </row>
    <row r="131" ht="20.25" customHeight="1">
      <c r="A131" s="20"/>
      <c r="B131" s="20"/>
      <c r="C131" s="20"/>
      <c r="D131" s="20"/>
      <c r="E131" s="20"/>
      <c r="F131" s="20"/>
      <c r="G131" s="20"/>
      <c r="H131" s="20"/>
      <c r="I131" s="21"/>
      <c r="J131" s="97"/>
    </row>
    <row r="132" ht="20.25" customHeight="1">
      <c r="A132" s="20"/>
      <c r="B132" s="20"/>
      <c r="C132" s="20"/>
      <c r="D132" s="20"/>
      <c r="E132" s="20"/>
      <c r="F132" s="20"/>
      <c r="G132" s="20"/>
      <c r="H132" s="20"/>
      <c r="I132" s="21"/>
    </row>
    <row r="133" ht="20.25" customHeight="1">
      <c r="A133" s="20"/>
      <c r="B133" s="20"/>
      <c r="C133" s="20"/>
      <c r="D133" s="20"/>
      <c r="E133" s="20"/>
      <c r="F133" s="20"/>
      <c r="G133" s="20"/>
      <c r="H133" s="20"/>
      <c r="I133" s="21"/>
      <c r="J133" s="97"/>
    </row>
    <row r="134" ht="20.25" customHeight="1">
      <c r="A134" s="20"/>
      <c r="B134" s="20"/>
      <c r="C134" s="20"/>
      <c r="D134" s="20"/>
      <c r="E134" s="20"/>
      <c r="F134" s="20"/>
      <c r="G134" s="20"/>
      <c r="H134" s="20"/>
      <c r="I134" s="21"/>
    </row>
    <row r="135" ht="20.25" customHeight="1">
      <c r="A135" s="20"/>
      <c r="B135" s="20"/>
      <c r="C135" s="20"/>
      <c r="D135" s="20"/>
      <c r="E135" s="20"/>
      <c r="F135" s="20"/>
      <c r="G135" s="20"/>
      <c r="H135" s="20"/>
      <c r="I135" s="21"/>
      <c r="J135" s="97"/>
    </row>
    <row r="136" ht="20.25" customHeight="1">
      <c r="A136" s="20"/>
      <c r="B136" s="20"/>
      <c r="C136" s="20"/>
      <c r="D136" s="20"/>
      <c r="E136" s="20"/>
      <c r="F136" s="20"/>
      <c r="G136" s="20"/>
      <c r="H136" s="20"/>
      <c r="I136" s="21"/>
      <c r="J136" s="97"/>
    </row>
    <row r="137" ht="20.25" customHeight="1">
      <c r="A137" s="20"/>
      <c r="B137" s="20"/>
      <c r="C137" s="20"/>
      <c r="D137" s="20"/>
      <c r="E137" s="20"/>
      <c r="F137" s="20"/>
      <c r="G137" s="20"/>
      <c r="H137" s="20"/>
      <c r="I137" s="21"/>
      <c r="J137" s="97"/>
    </row>
    <row r="138" ht="20.25" customHeight="1">
      <c r="A138" s="20"/>
      <c r="B138" s="20"/>
      <c r="C138" s="20"/>
      <c r="D138" s="20"/>
      <c r="E138" s="20"/>
      <c r="F138" s="20"/>
      <c r="G138" s="20"/>
      <c r="H138" s="20"/>
      <c r="I138" s="21"/>
      <c r="J138" s="97"/>
    </row>
    <row r="139" ht="20.25" customHeight="1">
      <c r="A139" s="20"/>
      <c r="B139" s="20"/>
      <c r="C139" s="20"/>
      <c r="D139" s="20"/>
      <c r="E139" s="20"/>
      <c r="F139" s="20"/>
      <c r="G139" s="20"/>
      <c r="H139" s="20"/>
      <c r="I139" s="21"/>
    </row>
    <row r="140" ht="20.25" customHeight="1">
      <c r="A140" s="20"/>
      <c r="B140" s="20"/>
      <c r="C140" s="20"/>
      <c r="D140" s="20"/>
      <c r="E140" s="20"/>
      <c r="F140" s="20"/>
      <c r="G140" s="20"/>
      <c r="H140" s="20"/>
      <c r="I140" s="21"/>
    </row>
    <row r="141" ht="20.25" customHeight="1">
      <c r="A141" s="20"/>
      <c r="B141" s="20"/>
      <c r="C141" s="20"/>
      <c r="D141" s="20"/>
      <c r="E141" s="20"/>
      <c r="F141" s="20"/>
      <c r="G141" s="20"/>
      <c r="H141" s="20"/>
      <c r="I141" s="21"/>
    </row>
    <row r="142" ht="20.25" customHeight="1">
      <c r="A142" s="20"/>
      <c r="B142" s="20"/>
      <c r="C142" s="20"/>
      <c r="D142" s="20"/>
      <c r="E142" s="20"/>
      <c r="F142" s="20"/>
      <c r="G142" s="20"/>
      <c r="H142" s="20"/>
      <c r="I142" s="21"/>
    </row>
    <row r="143" ht="20.25" customHeight="1">
      <c r="A143" s="20"/>
      <c r="B143" s="20"/>
      <c r="C143" s="20"/>
      <c r="D143" s="20"/>
      <c r="E143" s="20"/>
      <c r="F143" s="20"/>
      <c r="G143" s="20"/>
      <c r="H143" s="20"/>
      <c r="I143" s="21"/>
    </row>
    <row r="144" ht="20.25" customHeight="1">
      <c r="A144" s="20"/>
      <c r="B144" s="20"/>
      <c r="C144" s="20"/>
      <c r="D144" s="20"/>
      <c r="E144" s="20"/>
      <c r="F144" s="20"/>
      <c r="G144" s="20"/>
      <c r="H144" s="20"/>
      <c r="I144" s="21"/>
    </row>
    <row r="145" ht="20.25" customHeight="1">
      <c r="A145" s="20"/>
      <c r="B145" s="20"/>
      <c r="C145" s="20"/>
      <c r="D145" s="20"/>
      <c r="E145" s="20"/>
      <c r="F145" s="20"/>
      <c r="G145" s="20"/>
      <c r="H145" s="20"/>
      <c r="I145" s="21"/>
    </row>
    <row r="146" ht="20.25" customHeight="1">
      <c r="A146" s="20"/>
      <c r="B146" s="20"/>
      <c r="C146" s="20"/>
      <c r="D146" s="20"/>
      <c r="E146" s="20"/>
      <c r="F146" s="20"/>
      <c r="G146" s="20"/>
      <c r="H146" s="20"/>
      <c r="I146" s="21"/>
    </row>
    <row r="147" ht="20.25" customHeight="1">
      <c r="A147" s="20"/>
      <c r="B147" s="20"/>
      <c r="C147" s="20"/>
      <c r="D147" s="20"/>
      <c r="E147" s="20"/>
      <c r="F147" s="20"/>
      <c r="G147" s="20"/>
      <c r="H147" s="20"/>
      <c r="I147" s="21"/>
    </row>
    <row r="148" ht="20.25" customHeight="1">
      <c r="A148" s="20"/>
      <c r="B148" s="20"/>
      <c r="C148" s="20"/>
      <c r="D148" s="20"/>
      <c r="E148" s="20"/>
      <c r="F148" s="20"/>
      <c r="G148" s="20"/>
      <c r="H148" s="20"/>
      <c r="I148" s="21"/>
    </row>
    <row r="149" ht="20.25" customHeight="1">
      <c r="A149" s="20"/>
      <c r="B149" s="20"/>
      <c r="C149" s="20"/>
      <c r="D149" s="20"/>
      <c r="E149" s="20"/>
      <c r="F149" s="20"/>
      <c r="G149" s="20"/>
      <c r="H149" s="20"/>
      <c r="I149" s="21"/>
    </row>
    <row r="150" ht="20.25" customHeight="1">
      <c r="A150" s="20"/>
      <c r="B150" s="20"/>
      <c r="C150" s="20"/>
      <c r="D150" s="20"/>
      <c r="E150" s="20"/>
      <c r="F150" s="20"/>
      <c r="G150" s="20"/>
      <c r="H150" s="20"/>
      <c r="I150" s="21"/>
    </row>
    <row r="151" ht="20.25" customHeight="1">
      <c r="A151" s="20"/>
      <c r="B151" s="20"/>
      <c r="C151" s="20"/>
      <c r="D151" s="20"/>
      <c r="E151" s="20"/>
      <c r="F151" s="20"/>
      <c r="G151" s="20"/>
      <c r="H151" s="20"/>
      <c r="I151" s="21"/>
    </row>
    <row r="152" ht="20.25" customHeight="1">
      <c r="A152" s="20"/>
      <c r="B152" s="20"/>
      <c r="C152" s="20"/>
      <c r="D152" s="20"/>
      <c r="E152" s="20"/>
      <c r="F152" s="20"/>
      <c r="G152" s="20"/>
      <c r="H152" s="20"/>
      <c r="I152" s="21"/>
    </row>
    <row r="153" ht="20.25" customHeight="1">
      <c r="A153" s="20"/>
      <c r="B153" s="20"/>
      <c r="C153" s="20"/>
      <c r="D153" s="20"/>
      <c r="E153" s="20"/>
      <c r="F153" s="20"/>
      <c r="G153" s="20"/>
      <c r="H153" s="20"/>
      <c r="I153" s="21"/>
    </row>
    <row r="154" ht="20.25" customHeight="1">
      <c r="A154" s="20"/>
      <c r="B154" s="20"/>
      <c r="C154" s="20"/>
      <c r="D154" s="20"/>
      <c r="E154" s="20"/>
      <c r="F154" s="20"/>
      <c r="G154" s="20"/>
      <c r="H154" s="20"/>
      <c r="I154" s="21"/>
    </row>
    <row r="155" ht="20.25" customHeight="1">
      <c r="A155" s="20"/>
      <c r="B155" s="20"/>
      <c r="C155" s="20"/>
      <c r="D155" s="20"/>
      <c r="E155" s="20"/>
      <c r="F155" s="20"/>
      <c r="G155" s="20"/>
      <c r="H155" s="20"/>
      <c r="I155" s="21"/>
    </row>
    <row r="156" ht="20.25" customHeight="1">
      <c r="A156" s="20"/>
      <c r="B156" s="20"/>
      <c r="C156" s="20"/>
      <c r="D156" s="20"/>
      <c r="E156" s="20"/>
      <c r="F156" s="20"/>
      <c r="G156" s="20"/>
      <c r="H156" s="20"/>
      <c r="I156" s="21"/>
    </row>
    <row r="157" ht="20.25" customHeight="1">
      <c r="A157" s="20"/>
      <c r="B157" s="20"/>
      <c r="C157" s="20"/>
      <c r="D157" s="20"/>
      <c r="E157" s="20"/>
      <c r="F157" s="20"/>
      <c r="G157" s="20"/>
      <c r="H157" s="20"/>
      <c r="I157" s="21"/>
    </row>
    <row r="158" ht="20.25" customHeight="1">
      <c r="A158" s="20"/>
      <c r="B158" s="20"/>
      <c r="C158" s="20"/>
      <c r="D158" s="20"/>
      <c r="E158" s="20"/>
      <c r="F158" s="20"/>
      <c r="G158" s="20"/>
      <c r="H158" s="20"/>
      <c r="I158" s="21"/>
    </row>
    <row r="159" ht="20.25" customHeight="1">
      <c r="A159" s="20"/>
      <c r="B159" s="20"/>
      <c r="C159" s="20"/>
      <c r="D159" s="20"/>
      <c r="E159" s="20"/>
      <c r="F159" s="20"/>
      <c r="G159" s="20"/>
      <c r="H159" s="20"/>
      <c r="I159" s="21"/>
    </row>
    <row r="160" ht="20.25" customHeight="1">
      <c r="A160" s="20"/>
      <c r="B160" s="20"/>
      <c r="C160" s="20"/>
      <c r="D160" s="20"/>
      <c r="E160" s="20"/>
      <c r="F160" s="20"/>
      <c r="G160" s="20"/>
      <c r="H160" s="20"/>
      <c r="I160" s="21"/>
    </row>
    <row r="161" ht="20.25" customHeight="1">
      <c r="A161" s="20"/>
      <c r="B161" s="20"/>
      <c r="C161" s="20"/>
      <c r="D161" s="20"/>
      <c r="E161" s="20"/>
      <c r="F161" s="20"/>
      <c r="G161" s="20"/>
      <c r="H161" s="20"/>
      <c r="I161" s="21"/>
    </row>
    <row r="162" ht="20.25" customHeight="1">
      <c r="A162" s="20"/>
      <c r="B162" s="20"/>
      <c r="C162" s="20"/>
      <c r="D162" s="20"/>
      <c r="E162" s="20"/>
      <c r="F162" s="20"/>
      <c r="G162" s="20"/>
      <c r="H162" s="20"/>
      <c r="I162" s="21"/>
    </row>
    <row r="163" ht="20.25" customHeight="1">
      <c r="A163" s="20"/>
      <c r="B163" s="20"/>
      <c r="C163" s="20"/>
      <c r="D163" s="20"/>
      <c r="E163" s="20"/>
      <c r="F163" s="20"/>
      <c r="G163" s="20"/>
      <c r="H163" s="20"/>
      <c r="I163" s="21"/>
    </row>
    <row r="164" ht="20.25" customHeight="1">
      <c r="A164" s="20"/>
      <c r="B164" s="20"/>
      <c r="C164" s="20"/>
      <c r="D164" s="20"/>
      <c r="E164" s="20"/>
      <c r="F164" s="20"/>
      <c r="G164" s="20"/>
      <c r="H164" s="20"/>
      <c r="I164" s="21"/>
    </row>
    <row r="165" ht="20.25" customHeight="1">
      <c r="A165" s="20"/>
      <c r="B165" s="20"/>
      <c r="C165" s="20"/>
      <c r="D165" s="20"/>
      <c r="E165" s="20"/>
      <c r="F165" s="20"/>
      <c r="G165" s="20"/>
      <c r="H165" s="20"/>
      <c r="I165" s="21"/>
    </row>
    <row r="166" ht="20.25" customHeight="1">
      <c r="A166" s="20"/>
      <c r="B166" s="20"/>
      <c r="C166" s="20"/>
      <c r="D166" s="20"/>
      <c r="E166" s="20"/>
      <c r="F166" s="20"/>
      <c r="G166" s="20"/>
      <c r="H166" s="20"/>
      <c r="I166" s="21"/>
    </row>
    <row r="167" ht="20.25" customHeight="1">
      <c r="A167" s="20"/>
      <c r="B167" s="20"/>
      <c r="C167" s="20"/>
      <c r="D167" s="20"/>
      <c r="E167" s="20"/>
      <c r="F167" s="20"/>
      <c r="G167" s="20"/>
      <c r="H167" s="20"/>
      <c r="I167" s="21"/>
    </row>
    <row r="168" ht="20.25" customHeight="1">
      <c r="A168" s="20"/>
      <c r="B168" s="20"/>
      <c r="C168" s="20"/>
      <c r="D168" s="20"/>
      <c r="E168" s="20"/>
      <c r="F168" s="20"/>
      <c r="G168" s="20"/>
      <c r="H168" s="20"/>
      <c r="I168" s="21"/>
    </row>
    <row r="169" ht="20.25" customHeight="1">
      <c r="A169" s="20"/>
      <c r="B169" s="20"/>
      <c r="C169" s="20"/>
      <c r="D169" s="20"/>
      <c r="E169" s="20"/>
      <c r="F169" s="20"/>
      <c r="G169" s="20"/>
      <c r="H169" s="20"/>
      <c r="I169" s="21"/>
    </row>
    <row r="170" ht="20.25" customHeight="1">
      <c r="A170" s="20"/>
      <c r="B170" s="20"/>
      <c r="C170" s="20"/>
      <c r="D170" s="20"/>
      <c r="E170" s="20"/>
      <c r="F170" s="20"/>
      <c r="G170" s="20"/>
      <c r="H170" s="20"/>
      <c r="I170" s="21"/>
    </row>
    <row r="171" ht="20.25" customHeight="1">
      <c r="A171" s="20"/>
      <c r="B171" s="20"/>
      <c r="C171" s="20"/>
      <c r="D171" s="20"/>
      <c r="E171" s="20"/>
      <c r="F171" s="20"/>
      <c r="G171" s="20"/>
      <c r="H171" s="20"/>
      <c r="I171" s="21"/>
    </row>
    <row r="172" ht="20.25" customHeight="1">
      <c r="A172" s="20"/>
      <c r="B172" s="20"/>
      <c r="C172" s="20"/>
      <c r="D172" s="20"/>
      <c r="E172" s="20"/>
      <c r="F172" s="20"/>
      <c r="G172" s="20"/>
      <c r="H172" s="20"/>
      <c r="I172" s="21"/>
    </row>
    <row r="173" ht="20.25" customHeight="1">
      <c r="A173" s="20"/>
      <c r="B173" s="20"/>
      <c r="C173" s="20"/>
      <c r="D173" s="20"/>
      <c r="E173" s="20"/>
      <c r="F173" s="20"/>
      <c r="G173" s="20"/>
      <c r="H173" s="20"/>
      <c r="I173" s="21"/>
    </row>
    <row r="174" ht="20.25" customHeight="1">
      <c r="A174" s="20"/>
      <c r="B174" s="20"/>
      <c r="C174" s="20"/>
      <c r="D174" s="20"/>
      <c r="E174" s="20"/>
      <c r="F174" s="20"/>
      <c r="G174" s="20"/>
      <c r="H174" s="20"/>
      <c r="I174" s="21"/>
    </row>
    <row r="175" ht="20.25" customHeight="1">
      <c r="A175" s="20"/>
      <c r="B175" s="20"/>
      <c r="C175" s="20"/>
      <c r="D175" s="20"/>
      <c r="E175" s="20"/>
      <c r="F175" s="20"/>
      <c r="G175" s="20"/>
      <c r="H175" s="20"/>
      <c r="I175" s="21"/>
    </row>
    <row r="176" ht="20.25" customHeight="1">
      <c r="A176" s="20"/>
      <c r="B176" s="20"/>
      <c r="C176" s="20"/>
      <c r="D176" s="20"/>
      <c r="E176" s="20"/>
      <c r="F176" s="20"/>
      <c r="G176" s="20"/>
      <c r="H176" s="20"/>
      <c r="I176" s="21"/>
    </row>
    <row r="177" ht="20.25" customHeight="1">
      <c r="A177" s="20"/>
      <c r="B177" s="20"/>
      <c r="C177" s="20"/>
      <c r="D177" s="20"/>
      <c r="E177" s="20"/>
      <c r="F177" s="20"/>
      <c r="G177" s="20"/>
      <c r="H177" s="20"/>
      <c r="I177" s="21"/>
    </row>
    <row r="178" ht="20.25" customHeight="1">
      <c r="A178" s="20"/>
      <c r="B178" s="20"/>
      <c r="C178" s="20"/>
      <c r="D178" s="20"/>
      <c r="E178" s="20"/>
      <c r="F178" s="20"/>
      <c r="G178" s="20"/>
      <c r="H178" s="20"/>
      <c r="I178" s="21"/>
    </row>
    <row r="179" ht="20.25" customHeight="1">
      <c r="A179" s="20"/>
      <c r="B179" s="20"/>
      <c r="C179" s="20"/>
      <c r="D179" s="20"/>
      <c r="E179" s="20"/>
      <c r="F179" s="20"/>
      <c r="G179" s="20"/>
      <c r="H179" s="20"/>
      <c r="I179" s="21"/>
    </row>
    <row r="180" ht="20.25" customHeight="1">
      <c r="A180" s="20"/>
      <c r="B180" s="20"/>
      <c r="C180" s="20"/>
      <c r="D180" s="20"/>
      <c r="E180" s="20"/>
      <c r="F180" s="20"/>
      <c r="G180" s="20"/>
      <c r="H180" s="20"/>
      <c r="I180" s="21"/>
    </row>
    <row r="181" ht="20.25" customHeight="1">
      <c r="A181" s="20"/>
      <c r="B181" s="20"/>
      <c r="C181" s="20"/>
      <c r="D181" s="20"/>
      <c r="E181" s="20"/>
      <c r="F181" s="20"/>
      <c r="G181" s="20"/>
      <c r="H181" s="20"/>
      <c r="I181" s="21"/>
    </row>
    <row r="182" ht="20.25" customHeight="1">
      <c r="A182" s="20"/>
      <c r="B182" s="20"/>
      <c r="C182" s="20"/>
      <c r="D182" s="20"/>
      <c r="E182" s="20"/>
      <c r="F182" s="20"/>
      <c r="G182" s="20"/>
      <c r="H182" s="20"/>
      <c r="I182" s="21"/>
    </row>
    <row r="183" ht="20.25" customHeight="1">
      <c r="A183" s="20"/>
      <c r="B183" s="20"/>
      <c r="C183" s="20"/>
      <c r="D183" s="20"/>
      <c r="E183" s="20"/>
      <c r="F183" s="20"/>
      <c r="G183" s="20"/>
      <c r="H183" s="20"/>
      <c r="I183" s="21"/>
    </row>
    <row r="184" ht="20.25" customHeight="1">
      <c r="A184" s="20"/>
      <c r="B184" s="20"/>
      <c r="C184" s="20"/>
      <c r="D184" s="20"/>
      <c r="E184" s="20"/>
      <c r="F184" s="20"/>
      <c r="G184" s="20"/>
      <c r="H184" s="20"/>
      <c r="I184" s="21"/>
    </row>
    <row r="185" ht="20.25" customHeight="1">
      <c r="A185" s="20"/>
      <c r="B185" s="20"/>
      <c r="C185" s="20"/>
      <c r="D185" s="20"/>
      <c r="E185" s="20"/>
      <c r="F185" s="20"/>
      <c r="G185" s="20"/>
      <c r="H185" s="20"/>
      <c r="I185" s="21"/>
    </row>
    <row r="186" ht="20.25" customHeight="1">
      <c r="A186" s="20"/>
      <c r="B186" s="20"/>
      <c r="C186" s="20"/>
      <c r="D186" s="20"/>
      <c r="E186" s="20"/>
      <c r="F186" s="20"/>
      <c r="G186" s="20"/>
      <c r="H186" s="20"/>
      <c r="I186" s="21"/>
    </row>
    <row r="187" ht="20.25" customHeight="1">
      <c r="A187" s="20"/>
      <c r="B187" s="20"/>
      <c r="C187" s="20"/>
      <c r="D187" s="20"/>
      <c r="E187" s="20"/>
      <c r="F187" s="20"/>
      <c r="G187" s="20"/>
      <c r="H187" s="20"/>
      <c r="I187" s="21"/>
    </row>
    <row r="188" ht="20.25" customHeight="1">
      <c r="A188" s="20"/>
      <c r="B188" s="20"/>
      <c r="C188" s="20"/>
      <c r="D188" s="20"/>
      <c r="E188" s="20"/>
      <c r="F188" s="20"/>
      <c r="G188" s="20"/>
      <c r="H188" s="20"/>
      <c r="I188" s="21"/>
      <c r="J188" s="97"/>
    </row>
    <row r="189" ht="20.25" customHeight="1">
      <c r="A189" s="20"/>
      <c r="B189" s="20"/>
      <c r="C189" s="20"/>
      <c r="D189" s="20"/>
      <c r="E189" s="20"/>
      <c r="F189" s="20"/>
      <c r="G189" s="20"/>
      <c r="H189" s="20"/>
      <c r="I189" s="21"/>
      <c r="J189" s="97"/>
    </row>
    <row r="190" ht="20.25" customHeight="1">
      <c r="A190" s="20"/>
      <c r="B190" s="20"/>
      <c r="C190" s="20"/>
      <c r="D190" s="20"/>
      <c r="E190" s="20"/>
      <c r="F190" s="20"/>
      <c r="G190" s="20"/>
      <c r="H190" s="20"/>
      <c r="I190" s="21"/>
      <c r="J190" s="97"/>
    </row>
    <row r="191" ht="20.25" customHeight="1">
      <c r="A191" s="20"/>
      <c r="B191" s="20"/>
      <c r="C191" s="20"/>
      <c r="D191" s="20"/>
      <c r="E191" s="20"/>
      <c r="F191" s="20"/>
      <c r="G191" s="20"/>
      <c r="H191" s="20"/>
      <c r="I191" s="21"/>
      <c r="J191" s="97"/>
    </row>
    <row r="192" ht="20.25" customHeight="1">
      <c r="A192" s="20"/>
      <c r="B192" s="20"/>
      <c r="C192" s="20"/>
      <c r="D192" s="20"/>
      <c r="E192" s="20"/>
      <c r="F192" s="20"/>
      <c r="G192" s="20"/>
      <c r="H192" s="20"/>
      <c r="I192" s="21"/>
      <c r="J192" s="97"/>
    </row>
    <row r="193" ht="20.25" customHeight="1">
      <c r="A193" s="20"/>
      <c r="B193" s="20"/>
      <c r="C193" s="20"/>
      <c r="D193" s="20"/>
      <c r="E193" s="20"/>
      <c r="F193" s="20"/>
      <c r="G193" s="20"/>
      <c r="H193" s="20"/>
      <c r="I193" s="21"/>
      <c r="J193" s="97"/>
    </row>
    <row r="194" ht="20.25" customHeight="1">
      <c r="A194" s="20"/>
      <c r="B194" s="20"/>
      <c r="C194" s="20"/>
      <c r="D194" s="20"/>
      <c r="E194" s="20"/>
      <c r="F194" s="20"/>
      <c r="G194" s="20"/>
      <c r="H194" s="20"/>
      <c r="I194" s="21"/>
      <c r="J194" s="97"/>
    </row>
    <row r="195" ht="20.25" customHeight="1">
      <c r="A195" s="20"/>
      <c r="B195" s="20"/>
      <c r="C195" s="20"/>
      <c r="D195" s="20"/>
      <c r="E195" s="20"/>
      <c r="F195" s="20"/>
      <c r="G195" s="20"/>
      <c r="H195" s="20"/>
      <c r="I195" s="21"/>
      <c r="J195" s="97"/>
    </row>
    <row r="196" ht="20.25" customHeight="1">
      <c r="A196" s="20"/>
      <c r="B196" s="20"/>
      <c r="C196" s="20"/>
      <c r="D196" s="20"/>
      <c r="E196" s="20"/>
      <c r="F196" s="20"/>
      <c r="G196" s="20"/>
      <c r="H196" s="20"/>
      <c r="I196" s="21"/>
      <c r="J196" s="97"/>
    </row>
    <row r="197" ht="20.25" customHeight="1">
      <c r="A197" s="20"/>
      <c r="B197" s="20"/>
      <c r="C197" s="20"/>
      <c r="D197" s="20"/>
      <c r="E197" s="20"/>
      <c r="F197" s="20"/>
      <c r="G197" s="20"/>
      <c r="H197" s="20"/>
      <c r="I197" s="21"/>
    </row>
    <row r="198" ht="20.25" customHeight="1">
      <c r="A198" s="20"/>
      <c r="B198" s="20"/>
      <c r="C198" s="20"/>
      <c r="D198" s="20"/>
      <c r="E198" s="20"/>
      <c r="F198" s="20"/>
      <c r="G198" s="20"/>
      <c r="H198" s="20"/>
      <c r="I198" s="21"/>
    </row>
    <row r="199" ht="20.25" customHeight="1">
      <c r="A199" s="20"/>
      <c r="B199" s="20"/>
      <c r="C199" s="20"/>
      <c r="D199" s="20"/>
      <c r="E199" s="20"/>
      <c r="F199" s="20"/>
      <c r="G199" s="20"/>
      <c r="H199" s="20"/>
      <c r="I199" s="21"/>
    </row>
    <row r="200" ht="20.25" customHeight="1">
      <c r="A200" s="20"/>
      <c r="B200" s="20"/>
      <c r="C200" s="20"/>
      <c r="D200" s="20"/>
      <c r="E200" s="20"/>
      <c r="F200" s="20"/>
      <c r="G200" s="20"/>
      <c r="H200" s="20"/>
      <c r="I200" s="21"/>
    </row>
    <row r="201" ht="20.25" customHeight="1">
      <c r="A201" s="20"/>
      <c r="B201" s="20"/>
      <c r="C201" s="20"/>
      <c r="D201" s="20"/>
      <c r="E201" s="20"/>
      <c r="F201" s="20"/>
      <c r="G201" s="20"/>
      <c r="H201" s="20"/>
      <c r="I201" s="21"/>
      <c r="J201" s="97"/>
    </row>
    <row r="202" ht="20.25" customHeight="1">
      <c r="A202" s="20"/>
      <c r="B202" s="20"/>
      <c r="C202" s="20"/>
      <c r="D202" s="20"/>
      <c r="E202" s="20"/>
      <c r="F202" s="20"/>
      <c r="G202" s="20"/>
      <c r="H202" s="20"/>
      <c r="I202" s="21"/>
      <c r="J202" s="97"/>
    </row>
    <row r="203" ht="20.25" customHeight="1">
      <c r="A203" s="20"/>
      <c r="B203" s="20"/>
      <c r="C203" s="20"/>
      <c r="D203" s="20"/>
      <c r="E203" s="20"/>
      <c r="F203" s="20"/>
      <c r="G203" s="20"/>
      <c r="H203" s="20"/>
      <c r="I203" s="21"/>
      <c r="J203" s="97"/>
    </row>
    <row r="204" ht="20.25" customHeight="1">
      <c r="A204" s="20"/>
      <c r="B204" s="20"/>
      <c r="C204" s="20"/>
      <c r="D204" s="20"/>
      <c r="E204" s="20"/>
      <c r="F204" s="20"/>
      <c r="G204" s="20"/>
      <c r="H204" s="20"/>
      <c r="I204" s="21"/>
    </row>
    <row r="205" ht="20.25" customHeight="1">
      <c r="A205" s="20"/>
      <c r="B205" s="20"/>
      <c r="C205" s="20"/>
      <c r="D205" s="20"/>
      <c r="E205" s="20"/>
      <c r="F205" s="20"/>
      <c r="G205" s="20"/>
      <c r="H205" s="20"/>
      <c r="I205" s="21"/>
    </row>
    <row r="206" ht="20.25" customHeight="1">
      <c r="A206" s="20"/>
      <c r="B206" s="20"/>
      <c r="C206" s="20"/>
      <c r="D206" s="20"/>
      <c r="E206" s="20"/>
      <c r="F206" s="20"/>
      <c r="G206" s="20"/>
      <c r="H206" s="20"/>
      <c r="I206" s="21"/>
    </row>
    <row r="207" ht="20.25" customHeight="1">
      <c r="A207" s="20"/>
      <c r="B207" s="20"/>
      <c r="C207" s="20"/>
      <c r="D207" s="20"/>
      <c r="E207" s="20"/>
      <c r="F207" s="20"/>
      <c r="G207" s="20"/>
      <c r="H207" s="20"/>
      <c r="I207" s="21"/>
    </row>
    <row r="208" ht="20.25" customHeight="1">
      <c r="A208" s="20"/>
      <c r="B208" s="20"/>
      <c r="C208" s="20"/>
      <c r="D208" s="20"/>
      <c r="E208" s="20"/>
      <c r="F208" s="20"/>
      <c r="G208" s="20"/>
      <c r="H208" s="20"/>
      <c r="I208" s="21"/>
    </row>
    <row r="209" ht="20.25" customHeight="1">
      <c r="A209" s="20"/>
      <c r="B209" s="20"/>
      <c r="C209" s="20"/>
      <c r="D209" s="20"/>
      <c r="E209" s="20"/>
      <c r="F209" s="20"/>
      <c r="G209" s="20"/>
      <c r="H209" s="20"/>
      <c r="I209" s="21"/>
    </row>
    <row r="210" ht="20.25" customHeight="1">
      <c r="A210" s="20"/>
      <c r="B210" s="20"/>
      <c r="C210" s="20"/>
      <c r="D210" s="20"/>
      <c r="E210" s="20"/>
      <c r="F210" s="20"/>
      <c r="G210" s="20"/>
      <c r="H210" s="20"/>
      <c r="I210" s="21"/>
    </row>
    <row r="211" ht="20.25" customHeight="1">
      <c r="A211" s="20"/>
      <c r="B211" s="20"/>
      <c r="C211" s="20"/>
      <c r="D211" s="20"/>
      <c r="E211" s="20"/>
      <c r="F211" s="20"/>
      <c r="G211" s="20"/>
      <c r="H211" s="20"/>
      <c r="I211" s="21"/>
    </row>
    <row r="212" ht="20.25" customHeight="1">
      <c r="A212" s="20"/>
      <c r="B212" s="20"/>
      <c r="C212" s="20"/>
      <c r="D212" s="20"/>
      <c r="E212" s="20"/>
      <c r="F212" s="20"/>
      <c r="G212" s="20"/>
      <c r="H212" s="20"/>
      <c r="I212" s="21"/>
    </row>
    <row r="213" ht="20.25" customHeight="1">
      <c r="A213" s="20"/>
      <c r="B213" s="20"/>
      <c r="C213" s="20"/>
      <c r="D213" s="20"/>
      <c r="E213" s="20"/>
      <c r="F213" s="20"/>
      <c r="G213" s="20"/>
      <c r="H213" s="20"/>
      <c r="I213" s="21"/>
    </row>
    <row r="214" ht="20.25" customHeight="1">
      <c r="A214" s="20"/>
      <c r="B214" s="20"/>
      <c r="C214" s="20"/>
      <c r="D214" s="20"/>
      <c r="E214" s="20"/>
      <c r="F214" s="20"/>
      <c r="G214" s="20"/>
      <c r="H214" s="20"/>
      <c r="I214" s="21"/>
    </row>
    <row r="215" ht="20.25" customHeight="1">
      <c r="A215" s="20"/>
      <c r="B215" s="20"/>
      <c r="C215" s="20"/>
      <c r="D215" s="20"/>
      <c r="E215" s="20"/>
      <c r="F215" s="20"/>
      <c r="G215" s="20"/>
      <c r="H215" s="20"/>
      <c r="I215" s="21"/>
    </row>
    <row r="216" ht="20.25" customHeight="1">
      <c r="A216" s="20"/>
      <c r="B216" s="20"/>
      <c r="C216" s="20"/>
      <c r="D216" s="20"/>
      <c r="E216" s="20"/>
      <c r="F216" s="20"/>
      <c r="G216" s="20"/>
      <c r="H216" s="20"/>
      <c r="I216" s="21"/>
    </row>
    <row r="217" ht="20.25" customHeight="1">
      <c r="A217" s="20"/>
      <c r="B217" s="20"/>
      <c r="C217" s="20"/>
      <c r="D217" s="20"/>
      <c r="E217" s="20"/>
      <c r="F217" s="20"/>
      <c r="G217" s="20"/>
      <c r="H217" s="20"/>
      <c r="I217" s="21"/>
    </row>
    <row r="218" ht="20.25" customHeight="1">
      <c r="A218" s="20"/>
      <c r="B218" s="20"/>
      <c r="C218" s="20"/>
      <c r="D218" s="20"/>
      <c r="E218" s="20"/>
      <c r="F218" s="20"/>
      <c r="G218" s="20"/>
      <c r="H218" s="20"/>
      <c r="I218" s="21"/>
    </row>
    <row r="219" ht="20.25" customHeight="1">
      <c r="A219" s="20"/>
      <c r="B219" s="20"/>
      <c r="C219" s="20"/>
      <c r="D219" s="20"/>
      <c r="E219" s="20"/>
      <c r="F219" s="20"/>
      <c r="G219" s="20"/>
      <c r="H219" s="20"/>
      <c r="I219" s="21"/>
    </row>
    <row r="220" ht="20.25" customHeight="1">
      <c r="A220" s="20"/>
      <c r="B220" s="20"/>
      <c r="C220" s="20"/>
      <c r="D220" s="20"/>
      <c r="E220" s="20"/>
      <c r="F220" s="20"/>
      <c r="G220" s="20"/>
      <c r="H220" s="20"/>
      <c r="I220" s="21"/>
    </row>
    <row r="221" ht="20.25" customHeight="1">
      <c r="A221" s="20"/>
      <c r="B221" s="20"/>
      <c r="C221" s="20"/>
      <c r="D221" s="20"/>
      <c r="E221" s="20"/>
      <c r="F221" s="20"/>
      <c r="G221" s="20"/>
      <c r="H221" s="20"/>
      <c r="I221" s="21"/>
    </row>
    <row r="222" ht="20.25" customHeight="1">
      <c r="A222" s="20"/>
      <c r="B222" s="20"/>
      <c r="C222" s="20"/>
      <c r="D222" s="20"/>
      <c r="E222" s="20"/>
      <c r="F222" s="20"/>
      <c r="G222" s="20"/>
      <c r="H222" s="20"/>
      <c r="I222" s="21"/>
    </row>
    <row r="223" ht="20.25" customHeight="1">
      <c r="A223" s="20"/>
      <c r="B223" s="20"/>
      <c r="C223" s="20"/>
      <c r="D223" s="20"/>
      <c r="E223" s="20"/>
      <c r="F223" s="20"/>
      <c r="G223" s="20"/>
      <c r="H223" s="20"/>
      <c r="I223" s="21"/>
    </row>
    <row r="224" ht="20.25" customHeight="1">
      <c r="A224" s="20"/>
      <c r="B224" s="20"/>
      <c r="C224" s="20"/>
      <c r="D224" s="20"/>
      <c r="E224" s="20"/>
      <c r="F224" s="20"/>
      <c r="G224" s="20"/>
      <c r="H224" s="20"/>
      <c r="I224" s="21"/>
    </row>
    <row r="225" ht="20.25" customHeight="1">
      <c r="A225" s="20"/>
      <c r="B225" s="20"/>
      <c r="C225" s="20"/>
      <c r="D225" s="20"/>
      <c r="E225" s="20"/>
      <c r="F225" s="20"/>
      <c r="G225" s="20"/>
      <c r="H225" s="20"/>
      <c r="I225" s="21"/>
    </row>
    <row r="226" ht="20.25" customHeight="1">
      <c r="A226" s="20"/>
      <c r="B226" s="20"/>
      <c r="C226" s="20"/>
      <c r="D226" s="20"/>
      <c r="E226" s="20"/>
      <c r="F226" s="20"/>
      <c r="G226" s="20"/>
      <c r="H226" s="20"/>
      <c r="I226" s="21"/>
    </row>
    <row r="227" ht="20.25" customHeight="1">
      <c r="A227" s="20"/>
      <c r="B227" s="20"/>
      <c r="C227" s="20"/>
      <c r="D227" s="20"/>
      <c r="E227" s="20"/>
      <c r="F227" s="20"/>
      <c r="G227" s="20"/>
      <c r="H227" s="20"/>
      <c r="I227" s="21"/>
    </row>
    <row r="228" ht="20.25" customHeight="1">
      <c r="A228" s="20"/>
      <c r="B228" s="20"/>
      <c r="C228" s="20"/>
      <c r="D228" s="20"/>
      <c r="E228" s="20"/>
      <c r="F228" s="20"/>
      <c r="G228" s="20"/>
      <c r="H228" s="20"/>
      <c r="I228" s="21"/>
    </row>
    <row r="229" ht="20.25" customHeight="1">
      <c r="A229" s="20"/>
      <c r="B229" s="20"/>
      <c r="C229" s="20"/>
      <c r="D229" s="20"/>
      <c r="E229" s="20"/>
      <c r="F229" s="20"/>
      <c r="G229" s="20"/>
      <c r="H229" s="20"/>
      <c r="I229" s="21"/>
    </row>
    <row r="230" ht="20.25" customHeight="1">
      <c r="A230" s="20"/>
      <c r="B230" s="20"/>
      <c r="C230" s="20"/>
      <c r="D230" s="20"/>
      <c r="E230" s="20"/>
      <c r="F230" s="20"/>
      <c r="G230" s="20"/>
      <c r="H230" s="20"/>
      <c r="I230" s="21"/>
    </row>
    <row r="231" ht="20.25" customHeight="1">
      <c r="A231" s="20"/>
      <c r="B231" s="20"/>
      <c r="C231" s="20"/>
      <c r="D231" s="20"/>
      <c r="E231" s="20"/>
      <c r="F231" s="20"/>
      <c r="G231" s="20"/>
      <c r="H231" s="20"/>
      <c r="I231" s="21"/>
    </row>
    <row r="232" ht="20.25" customHeight="1">
      <c r="A232" s="20"/>
      <c r="B232" s="20"/>
      <c r="C232" s="20"/>
      <c r="D232" s="20"/>
      <c r="E232" s="20"/>
      <c r="F232" s="20"/>
      <c r="G232" s="20"/>
      <c r="H232" s="20"/>
      <c r="I232" s="21"/>
    </row>
    <row r="233" ht="20.25" customHeight="1">
      <c r="A233" s="20"/>
      <c r="B233" s="20"/>
      <c r="C233" s="20"/>
      <c r="D233" s="20"/>
      <c r="E233" s="20"/>
      <c r="F233" s="20"/>
      <c r="G233" s="20"/>
      <c r="H233" s="20"/>
      <c r="I233" s="21"/>
      <c r="J233" s="97"/>
    </row>
    <row r="234" ht="20.25" customHeight="1">
      <c r="A234" s="20"/>
      <c r="B234" s="20"/>
      <c r="C234" s="20"/>
      <c r="D234" s="20"/>
      <c r="E234" s="20"/>
      <c r="F234" s="20"/>
      <c r="G234" s="20"/>
      <c r="H234" s="20"/>
      <c r="I234" s="21"/>
    </row>
    <row r="235" ht="20.25" customHeight="1">
      <c r="A235" s="20"/>
      <c r="B235" s="20"/>
      <c r="C235" s="20"/>
      <c r="D235" s="20"/>
      <c r="E235" s="20"/>
      <c r="F235" s="20"/>
      <c r="G235" s="20"/>
      <c r="H235" s="20"/>
      <c r="I235" s="21"/>
      <c r="J235" s="97"/>
    </row>
    <row r="236" ht="20.25" customHeight="1">
      <c r="A236" s="20"/>
      <c r="B236" s="20"/>
      <c r="C236" s="20"/>
      <c r="D236" s="20"/>
      <c r="E236" s="20"/>
      <c r="F236" s="20"/>
      <c r="G236" s="20"/>
      <c r="H236" s="20"/>
      <c r="I236" s="21"/>
    </row>
    <row r="237" ht="20.25" customHeight="1">
      <c r="A237" s="20"/>
      <c r="B237" s="20"/>
      <c r="C237" s="20"/>
      <c r="D237" s="20"/>
      <c r="E237" s="20"/>
      <c r="F237" s="20"/>
      <c r="G237" s="20"/>
      <c r="H237" s="20"/>
      <c r="I237" s="21"/>
    </row>
    <row r="238" ht="20.25" customHeight="1">
      <c r="A238" s="20"/>
      <c r="B238" s="20"/>
      <c r="C238" s="20"/>
      <c r="D238" s="20"/>
      <c r="E238" s="20"/>
      <c r="F238" s="20"/>
      <c r="G238" s="20"/>
      <c r="H238" s="20"/>
      <c r="I238" s="21"/>
    </row>
    <row r="239" ht="20.25" customHeight="1">
      <c r="A239" s="20"/>
      <c r="B239" s="20"/>
      <c r="C239" s="20"/>
      <c r="D239" s="20"/>
      <c r="E239" s="20"/>
      <c r="F239" s="20"/>
      <c r="G239" s="20"/>
      <c r="H239" s="20"/>
      <c r="I239" s="21"/>
    </row>
    <row r="240" ht="20.25" customHeight="1">
      <c r="A240" s="20"/>
      <c r="B240" s="20"/>
      <c r="C240" s="20"/>
      <c r="D240" s="20"/>
      <c r="E240" s="20"/>
      <c r="F240" s="20"/>
      <c r="G240" s="20"/>
      <c r="H240" s="20"/>
      <c r="I240" s="21"/>
    </row>
    <row r="241" ht="20.25" customHeight="1">
      <c r="A241" s="20"/>
      <c r="B241" s="20"/>
      <c r="C241" s="20"/>
      <c r="D241" s="20"/>
      <c r="E241" s="20"/>
      <c r="F241" s="20"/>
      <c r="G241" s="20"/>
      <c r="H241" s="20"/>
      <c r="I241" s="21"/>
    </row>
    <row r="242" ht="20.25" customHeight="1">
      <c r="A242" s="20"/>
      <c r="B242" s="20"/>
      <c r="C242" s="20"/>
      <c r="D242" s="20"/>
      <c r="E242" s="20"/>
      <c r="F242" s="20"/>
      <c r="G242" s="20"/>
      <c r="H242" s="20"/>
      <c r="I242" s="21"/>
    </row>
    <row r="243" ht="20.25" customHeight="1">
      <c r="A243" s="20"/>
      <c r="B243" s="20"/>
      <c r="C243" s="20"/>
      <c r="D243" s="20"/>
      <c r="E243" s="20"/>
      <c r="F243" s="20"/>
      <c r="G243" s="20"/>
      <c r="H243" s="20"/>
      <c r="I243" s="21"/>
    </row>
    <row r="244" ht="20.25" customHeight="1">
      <c r="A244" s="20"/>
      <c r="B244" s="20"/>
      <c r="C244" s="20"/>
      <c r="D244" s="20"/>
      <c r="E244" s="20"/>
      <c r="F244" s="20"/>
      <c r="G244" s="20"/>
      <c r="H244" s="20"/>
      <c r="I244" s="21"/>
    </row>
    <row r="245" ht="20.25" customHeight="1">
      <c r="A245" s="20"/>
      <c r="B245" s="20"/>
      <c r="C245" s="20"/>
      <c r="D245" s="20"/>
      <c r="E245" s="20"/>
      <c r="F245" s="20"/>
      <c r="G245" s="20"/>
      <c r="H245" s="20"/>
      <c r="I245" s="21"/>
    </row>
    <row r="246" ht="20.25" customHeight="1">
      <c r="A246" s="20"/>
      <c r="B246" s="20"/>
      <c r="C246" s="20"/>
      <c r="D246" s="20"/>
      <c r="E246" s="20"/>
      <c r="F246" s="20"/>
      <c r="G246" s="20"/>
      <c r="H246" s="20"/>
      <c r="I246" s="21"/>
    </row>
    <row r="247" ht="20.25" customHeight="1">
      <c r="A247" s="20"/>
      <c r="B247" s="20"/>
      <c r="C247" s="20"/>
      <c r="D247" s="20"/>
      <c r="E247" s="20"/>
      <c r="F247" s="20"/>
      <c r="G247" s="20"/>
      <c r="H247" s="20"/>
      <c r="I247" s="21"/>
    </row>
    <row r="248" ht="20.25" customHeight="1">
      <c r="A248" s="20"/>
      <c r="B248" s="20"/>
      <c r="C248" s="20"/>
      <c r="D248" s="20"/>
      <c r="E248" s="20"/>
      <c r="F248" s="20"/>
      <c r="G248" s="20"/>
      <c r="H248" s="20"/>
      <c r="I248" s="21"/>
      <c r="J248" s="97"/>
    </row>
    <row r="249" ht="20.25" customHeight="1">
      <c r="A249" s="20"/>
      <c r="B249" s="20"/>
      <c r="C249" s="20"/>
      <c r="D249" s="20"/>
      <c r="E249" s="20"/>
      <c r="F249" s="20"/>
      <c r="G249" s="20"/>
      <c r="H249" s="20"/>
      <c r="I249" s="21"/>
      <c r="J249" s="97"/>
    </row>
    <row r="250" ht="20.25" customHeight="1">
      <c r="A250" s="20"/>
      <c r="B250" s="20"/>
      <c r="C250" s="20"/>
      <c r="D250" s="20"/>
      <c r="E250" s="20"/>
      <c r="F250" s="20"/>
      <c r="G250" s="20"/>
      <c r="H250" s="20"/>
      <c r="I250" s="21"/>
      <c r="J250" s="97"/>
    </row>
    <row r="251" ht="20.25" customHeight="1">
      <c r="A251" s="20"/>
      <c r="B251" s="20"/>
      <c r="C251" s="20"/>
      <c r="D251" s="20"/>
      <c r="E251" s="20"/>
      <c r="F251" s="20"/>
      <c r="G251" s="20"/>
      <c r="H251" s="20"/>
      <c r="I251" s="21"/>
      <c r="J251" s="97"/>
    </row>
    <row r="252" ht="20.25" customHeight="1">
      <c r="A252" s="20"/>
      <c r="B252" s="20"/>
      <c r="C252" s="20"/>
      <c r="D252" s="20"/>
      <c r="E252" s="20"/>
      <c r="F252" s="20"/>
      <c r="G252" s="20"/>
      <c r="H252" s="20"/>
      <c r="I252" s="21"/>
      <c r="J252" s="97"/>
    </row>
    <row r="253" ht="20.25" customHeight="1">
      <c r="A253" s="20"/>
      <c r="B253" s="20"/>
      <c r="C253" s="20"/>
      <c r="D253" s="20"/>
      <c r="E253" s="20"/>
      <c r="F253" s="20"/>
      <c r="G253" s="20"/>
      <c r="H253" s="20"/>
      <c r="I253" s="21"/>
    </row>
    <row r="254" ht="20.25" customHeight="1">
      <c r="A254" s="20"/>
      <c r="B254" s="20"/>
      <c r="C254" s="20"/>
      <c r="D254" s="20"/>
      <c r="E254" s="20"/>
      <c r="F254" s="20"/>
      <c r="G254" s="20"/>
      <c r="H254" s="20"/>
      <c r="I254" s="21"/>
    </row>
    <row r="255" ht="20.25" customHeight="1">
      <c r="A255" s="20"/>
      <c r="B255" s="20"/>
      <c r="C255" s="20"/>
      <c r="D255" s="20"/>
      <c r="E255" s="20"/>
      <c r="F255" s="20"/>
      <c r="G255" s="20"/>
      <c r="H255" s="20"/>
      <c r="I255" s="21"/>
    </row>
    <row r="256" ht="20.25" customHeight="1">
      <c r="A256" s="20"/>
      <c r="B256" s="20"/>
      <c r="C256" s="20"/>
      <c r="D256" s="20"/>
      <c r="E256" s="20"/>
      <c r="F256" s="20"/>
      <c r="G256" s="20"/>
      <c r="H256" s="20"/>
      <c r="I256" s="21"/>
    </row>
    <row r="257" ht="20.25" customHeight="1">
      <c r="A257" s="20"/>
      <c r="B257" s="20"/>
      <c r="C257" s="20"/>
      <c r="D257" s="20"/>
      <c r="E257" s="20"/>
      <c r="F257" s="20"/>
      <c r="G257" s="20"/>
      <c r="H257" s="20"/>
      <c r="I257" s="21"/>
    </row>
    <row r="258" ht="20.25" customHeight="1">
      <c r="A258" s="20"/>
      <c r="B258" s="20"/>
      <c r="C258" s="20"/>
      <c r="D258" s="20"/>
      <c r="E258" s="20"/>
      <c r="F258" s="20"/>
      <c r="G258" s="20"/>
      <c r="H258" s="20"/>
      <c r="I258" s="21"/>
    </row>
    <row r="259" ht="20.25" customHeight="1">
      <c r="A259" s="20"/>
      <c r="B259" s="20"/>
      <c r="C259" s="20"/>
      <c r="D259" s="20"/>
      <c r="E259" s="20"/>
      <c r="F259" s="20"/>
      <c r="G259" s="20"/>
      <c r="H259" s="20"/>
      <c r="I259" s="21"/>
    </row>
    <row r="260" ht="20.25" customHeight="1">
      <c r="A260" s="20"/>
      <c r="B260" s="20"/>
      <c r="C260" s="20"/>
      <c r="D260" s="20"/>
      <c r="E260" s="20"/>
      <c r="F260" s="20"/>
      <c r="G260" s="20"/>
      <c r="H260" s="20"/>
      <c r="I260" s="21"/>
    </row>
    <row r="261" ht="20.25" customHeight="1">
      <c r="A261" s="20"/>
      <c r="B261" s="20"/>
      <c r="C261" s="20"/>
      <c r="D261" s="20"/>
      <c r="E261" s="20"/>
      <c r="F261" s="20"/>
      <c r="G261" s="20"/>
      <c r="H261" s="20"/>
      <c r="I261" s="21"/>
    </row>
    <row r="262" ht="20.25" customHeight="1">
      <c r="A262" s="20"/>
      <c r="B262" s="20"/>
      <c r="C262" s="20"/>
      <c r="D262" s="20"/>
      <c r="E262" s="20"/>
      <c r="F262" s="20"/>
      <c r="G262" s="20"/>
      <c r="H262" s="20"/>
      <c r="I262" s="21"/>
    </row>
    <row r="263" ht="20.25" customHeight="1">
      <c r="A263" s="20"/>
      <c r="B263" s="20"/>
      <c r="C263" s="20"/>
      <c r="D263" s="20"/>
      <c r="E263" s="20"/>
      <c r="F263" s="20"/>
      <c r="G263" s="20"/>
      <c r="H263" s="20"/>
      <c r="I263" s="21"/>
    </row>
    <row r="264" ht="20.25" customHeight="1">
      <c r="A264" s="20"/>
      <c r="B264" s="20"/>
      <c r="C264" s="20"/>
      <c r="D264" s="20"/>
      <c r="E264" s="20"/>
      <c r="F264" s="20"/>
      <c r="G264" s="20"/>
      <c r="H264" s="20"/>
      <c r="I264" s="21"/>
    </row>
    <row r="265" ht="20.25" customHeight="1">
      <c r="A265" s="20"/>
      <c r="B265" s="20"/>
      <c r="C265" s="20"/>
      <c r="D265" s="20"/>
      <c r="E265" s="20"/>
      <c r="F265" s="20"/>
      <c r="G265" s="20"/>
      <c r="H265" s="20"/>
      <c r="I265" s="21"/>
    </row>
    <row r="266" ht="20.25" customHeight="1">
      <c r="A266" s="20"/>
      <c r="B266" s="20"/>
      <c r="C266" s="20"/>
      <c r="D266" s="20"/>
      <c r="E266" s="20"/>
      <c r="F266" s="20"/>
      <c r="G266" s="20"/>
      <c r="H266" s="20"/>
      <c r="I266" s="21"/>
    </row>
    <row r="267" ht="20.25" customHeight="1">
      <c r="A267" s="20"/>
      <c r="B267" s="20"/>
      <c r="C267" s="20"/>
      <c r="D267" s="20"/>
      <c r="E267" s="20"/>
      <c r="F267" s="20"/>
      <c r="G267" s="20"/>
      <c r="H267" s="20"/>
      <c r="I267" s="21"/>
    </row>
    <row r="268" ht="20.25" customHeight="1">
      <c r="A268" s="20"/>
      <c r="B268" s="20"/>
      <c r="C268" s="20"/>
      <c r="D268" s="20"/>
      <c r="E268" s="20"/>
      <c r="F268" s="20"/>
      <c r="G268" s="20"/>
      <c r="H268" s="20"/>
      <c r="I268" s="21"/>
    </row>
    <row r="269" ht="20.25" customHeight="1">
      <c r="A269" s="20"/>
      <c r="B269" s="20"/>
      <c r="C269" s="20"/>
      <c r="D269" s="20"/>
      <c r="E269" s="20"/>
      <c r="F269" s="20"/>
      <c r="G269" s="20"/>
      <c r="H269" s="20"/>
      <c r="I269" s="21"/>
    </row>
    <row r="270" ht="20.25" customHeight="1">
      <c r="A270" s="20"/>
      <c r="B270" s="20"/>
      <c r="C270" s="20"/>
      <c r="D270" s="20"/>
      <c r="E270" s="20"/>
      <c r="F270" s="20"/>
      <c r="G270" s="20"/>
      <c r="H270" s="20"/>
      <c r="I270" s="21"/>
    </row>
    <row r="271" ht="20.25" customHeight="1">
      <c r="A271" s="20"/>
      <c r="B271" s="20"/>
      <c r="C271" s="20"/>
      <c r="D271" s="20"/>
      <c r="E271" s="20"/>
      <c r="F271" s="20"/>
      <c r="G271" s="20"/>
      <c r="H271" s="20"/>
      <c r="I271" s="21"/>
    </row>
    <row r="272" ht="20.25" customHeight="1">
      <c r="A272" s="20"/>
      <c r="B272" s="20"/>
      <c r="C272" s="20"/>
      <c r="D272" s="20"/>
      <c r="E272" s="20"/>
      <c r="F272" s="20"/>
      <c r="G272" s="20"/>
      <c r="H272" s="20"/>
      <c r="I272" s="21"/>
    </row>
    <row r="273" ht="20.25" customHeight="1">
      <c r="A273" s="20"/>
      <c r="B273" s="20"/>
      <c r="C273" s="20"/>
      <c r="D273" s="20"/>
      <c r="E273" s="20"/>
      <c r="F273" s="20"/>
      <c r="G273" s="20"/>
      <c r="H273" s="20"/>
      <c r="I273" s="21"/>
    </row>
    <row r="274" ht="20.25" customHeight="1">
      <c r="A274" s="20"/>
      <c r="B274" s="20"/>
      <c r="C274" s="20"/>
      <c r="D274" s="20"/>
      <c r="E274" s="20"/>
      <c r="F274" s="20"/>
      <c r="G274" s="20"/>
      <c r="H274" s="20"/>
      <c r="I274" s="21"/>
    </row>
    <row r="275" ht="20.25" customHeight="1">
      <c r="A275" s="20"/>
      <c r="B275" s="20"/>
      <c r="C275" s="20"/>
      <c r="D275" s="20"/>
      <c r="E275" s="20"/>
      <c r="F275" s="20"/>
      <c r="G275" s="20"/>
      <c r="H275" s="20"/>
      <c r="I275" s="21"/>
    </row>
    <row r="276" ht="20.25" customHeight="1">
      <c r="A276" s="20"/>
      <c r="B276" s="20"/>
      <c r="C276" s="20"/>
      <c r="D276" s="20"/>
      <c r="E276" s="20"/>
      <c r="F276" s="20"/>
      <c r="G276" s="20"/>
      <c r="H276" s="20"/>
      <c r="I276" s="21"/>
    </row>
    <row r="277" ht="20.25" customHeight="1">
      <c r="A277" s="20"/>
      <c r="B277" s="20"/>
      <c r="C277" s="20"/>
      <c r="D277" s="20"/>
      <c r="E277" s="20"/>
      <c r="F277" s="20"/>
      <c r="G277" s="20"/>
      <c r="H277" s="20"/>
      <c r="I277" s="21"/>
    </row>
    <row r="278" ht="20.25" customHeight="1">
      <c r="A278" s="20"/>
      <c r="B278" s="20"/>
      <c r="C278" s="20"/>
      <c r="D278" s="20"/>
      <c r="E278" s="20"/>
      <c r="F278" s="20"/>
      <c r="G278" s="20"/>
      <c r="H278" s="20"/>
      <c r="I278" s="21"/>
    </row>
    <row r="279" ht="20.25" customHeight="1">
      <c r="A279" s="20"/>
      <c r="B279" s="20"/>
      <c r="C279" s="20"/>
      <c r="D279" s="20"/>
      <c r="E279" s="20"/>
      <c r="F279" s="20"/>
      <c r="G279" s="20"/>
      <c r="H279" s="20"/>
      <c r="I279" s="21"/>
    </row>
    <row r="280" ht="20.25" customHeight="1">
      <c r="A280" s="20"/>
      <c r="B280" s="20"/>
      <c r="C280" s="20"/>
      <c r="D280" s="20"/>
      <c r="E280" s="20"/>
      <c r="F280" s="20"/>
      <c r="G280" s="20"/>
      <c r="H280" s="20"/>
      <c r="I280" s="21"/>
    </row>
    <row r="281" ht="20.25" customHeight="1">
      <c r="A281" s="20"/>
      <c r="B281" s="20"/>
      <c r="C281" s="20"/>
      <c r="D281" s="20"/>
      <c r="E281" s="20"/>
      <c r="F281" s="20"/>
      <c r="G281" s="20"/>
      <c r="H281" s="20"/>
      <c r="I281" s="21"/>
    </row>
    <row r="282" ht="20.25" customHeight="1">
      <c r="A282" s="20"/>
      <c r="B282" s="20"/>
      <c r="C282" s="20"/>
      <c r="D282" s="20"/>
      <c r="E282" s="20"/>
      <c r="F282" s="20"/>
      <c r="G282" s="20"/>
      <c r="H282" s="20"/>
      <c r="I282" s="21"/>
    </row>
    <row r="283" ht="20.25" customHeight="1">
      <c r="A283" s="20"/>
      <c r="B283" s="20"/>
      <c r="C283" s="20"/>
      <c r="D283" s="20"/>
      <c r="E283" s="20"/>
      <c r="F283" s="20"/>
      <c r="G283" s="20"/>
      <c r="H283" s="20"/>
      <c r="I283" s="21"/>
    </row>
    <row r="284" ht="20.25" customHeight="1">
      <c r="A284" s="20"/>
      <c r="B284" s="20"/>
      <c r="C284" s="20"/>
      <c r="D284" s="20"/>
      <c r="E284" s="20"/>
      <c r="F284" s="20"/>
      <c r="G284" s="20"/>
      <c r="H284" s="20"/>
      <c r="I284" s="21"/>
    </row>
    <row r="285" ht="20.25" customHeight="1">
      <c r="A285" s="20"/>
      <c r="B285" s="20"/>
      <c r="C285" s="20"/>
      <c r="D285" s="20"/>
      <c r="E285" s="20"/>
      <c r="F285" s="20"/>
      <c r="G285" s="20"/>
      <c r="H285" s="20"/>
      <c r="I285" s="21"/>
    </row>
    <row r="286" ht="20.25" customHeight="1">
      <c r="A286" s="20"/>
      <c r="B286" s="20"/>
      <c r="C286" s="20"/>
      <c r="D286" s="20"/>
      <c r="E286" s="20"/>
      <c r="F286" s="20"/>
      <c r="G286" s="20"/>
      <c r="H286" s="20"/>
      <c r="I286" s="21"/>
    </row>
    <row r="287" ht="20.25" customHeight="1">
      <c r="A287" s="20"/>
      <c r="B287" s="20"/>
      <c r="C287" s="20"/>
      <c r="D287" s="20"/>
      <c r="E287" s="20"/>
      <c r="F287" s="20"/>
      <c r="G287" s="20"/>
      <c r="H287" s="20"/>
      <c r="I287" s="21"/>
    </row>
    <row r="288" ht="20.25" customHeight="1">
      <c r="A288" s="20"/>
      <c r="B288" s="20"/>
      <c r="C288" s="20"/>
      <c r="D288" s="20"/>
      <c r="E288" s="20"/>
      <c r="F288" s="20"/>
      <c r="G288" s="20"/>
      <c r="H288" s="20"/>
      <c r="I288" s="21"/>
    </row>
    <row r="289" ht="20.25" customHeight="1">
      <c r="A289" s="20"/>
      <c r="B289" s="20"/>
      <c r="C289" s="20"/>
      <c r="D289" s="20"/>
      <c r="E289" s="20"/>
      <c r="F289" s="20"/>
      <c r="G289" s="20"/>
      <c r="H289" s="20"/>
      <c r="I289" s="21"/>
    </row>
    <row r="290" ht="20.25" customHeight="1">
      <c r="A290" s="20"/>
      <c r="B290" s="20"/>
      <c r="C290" s="20"/>
      <c r="D290" s="20"/>
      <c r="E290" s="20"/>
      <c r="F290" s="20"/>
      <c r="G290" s="20"/>
      <c r="H290" s="20"/>
      <c r="I290" s="21"/>
    </row>
    <row r="291" ht="20.25" customHeight="1">
      <c r="A291" s="20"/>
      <c r="B291" s="20"/>
      <c r="C291" s="20"/>
      <c r="D291" s="20"/>
      <c r="E291" s="20"/>
      <c r="F291" s="20"/>
      <c r="G291" s="20"/>
      <c r="H291" s="20"/>
      <c r="I291" s="21"/>
    </row>
    <row r="292" ht="20.25" customHeight="1">
      <c r="A292" s="20"/>
      <c r="B292" s="20"/>
      <c r="C292" s="20"/>
      <c r="D292" s="20"/>
      <c r="E292" s="20"/>
      <c r="F292" s="20"/>
      <c r="G292" s="20"/>
      <c r="H292" s="20"/>
      <c r="I292" s="21"/>
    </row>
    <row r="293" ht="20.25" customHeight="1">
      <c r="A293" s="20"/>
      <c r="B293" s="20"/>
      <c r="C293" s="20"/>
      <c r="D293" s="20"/>
      <c r="E293" s="20"/>
      <c r="F293" s="20"/>
      <c r="G293" s="20"/>
      <c r="H293" s="20"/>
      <c r="I293" s="21"/>
    </row>
    <row r="294" ht="20.25" customHeight="1">
      <c r="A294" s="20"/>
      <c r="B294" s="20"/>
      <c r="C294" s="20"/>
      <c r="D294" s="20"/>
      <c r="E294" s="20"/>
      <c r="F294" s="20"/>
      <c r="G294" s="20"/>
      <c r="H294" s="20"/>
      <c r="I294" s="21"/>
    </row>
    <row r="295" ht="20.25" customHeight="1">
      <c r="A295" s="20"/>
      <c r="B295" s="20"/>
      <c r="C295" s="20"/>
      <c r="D295" s="20"/>
      <c r="E295" s="20"/>
      <c r="F295" s="20"/>
      <c r="G295" s="20"/>
      <c r="H295" s="20"/>
      <c r="I295" s="21"/>
    </row>
    <row r="296" ht="20.25" customHeight="1">
      <c r="A296" s="20"/>
      <c r="B296" s="20"/>
      <c r="C296" s="20"/>
      <c r="D296" s="20"/>
      <c r="E296" s="20"/>
      <c r="F296" s="20"/>
      <c r="G296" s="20"/>
      <c r="H296" s="20"/>
      <c r="I296" s="21"/>
    </row>
    <row r="297" ht="20.25" customHeight="1">
      <c r="A297" s="20"/>
      <c r="B297" s="20"/>
      <c r="C297" s="20"/>
      <c r="D297" s="20"/>
      <c r="E297" s="20"/>
      <c r="F297" s="20"/>
      <c r="G297" s="20"/>
      <c r="H297" s="20"/>
      <c r="I297" s="21"/>
    </row>
    <row r="298" ht="20.25" customHeight="1">
      <c r="A298" s="20"/>
      <c r="B298" s="20"/>
      <c r="C298" s="20"/>
      <c r="D298" s="20"/>
      <c r="E298" s="20"/>
      <c r="F298" s="20"/>
      <c r="G298" s="20"/>
      <c r="H298" s="20"/>
      <c r="I298" s="21"/>
      <c r="J298" s="97"/>
    </row>
    <row r="299" ht="20.25" customHeight="1">
      <c r="A299" s="20"/>
      <c r="B299" s="20"/>
      <c r="C299" s="20"/>
      <c r="D299" s="20"/>
      <c r="E299" s="20"/>
      <c r="F299" s="20"/>
      <c r="G299" s="20"/>
      <c r="H299" s="20"/>
      <c r="I299" s="21"/>
    </row>
    <row r="300" ht="20.25" customHeight="1">
      <c r="A300" s="20"/>
      <c r="B300" s="20"/>
      <c r="C300" s="20"/>
      <c r="D300" s="20"/>
      <c r="E300" s="20"/>
      <c r="F300" s="20"/>
      <c r="G300" s="20"/>
      <c r="H300" s="20"/>
      <c r="I300" s="21"/>
      <c r="J300" s="97"/>
    </row>
    <row r="301" ht="20.25" customHeight="1">
      <c r="A301" s="20"/>
      <c r="B301" s="20"/>
      <c r="C301" s="20"/>
      <c r="D301" s="20"/>
      <c r="E301" s="20"/>
      <c r="F301" s="20"/>
      <c r="G301" s="20"/>
      <c r="H301" s="20"/>
      <c r="I301" s="21"/>
    </row>
    <row r="302" ht="20.25" customHeight="1">
      <c r="A302" s="20"/>
      <c r="B302" s="20"/>
      <c r="C302" s="20"/>
      <c r="D302" s="20"/>
      <c r="E302" s="20"/>
      <c r="F302" s="20"/>
      <c r="G302" s="20"/>
      <c r="H302" s="20"/>
      <c r="I302" s="21"/>
      <c r="J302" s="97"/>
    </row>
    <row r="303" ht="20.25" customHeight="1">
      <c r="A303" s="20"/>
      <c r="B303" s="20"/>
      <c r="C303" s="20"/>
      <c r="D303" s="20"/>
      <c r="E303" s="20"/>
      <c r="F303" s="20"/>
      <c r="G303" s="20"/>
      <c r="H303" s="20"/>
      <c r="I303" s="21"/>
      <c r="J303" s="97"/>
    </row>
    <row r="304" ht="20.25" customHeight="1">
      <c r="A304" s="20"/>
      <c r="B304" s="20"/>
      <c r="C304" s="20"/>
      <c r="D304" s="20"/>
      <c r="E304" s="20"/>
      <c r="F304" s="20"/>
      <c r="G304" s="20"/>
      <c r="H304" s="20"/>
      <c r="I304" s="21"/>
      <c r="J304" s="97"/>
    </row>
    <row r="305" ht="20.25" customHeight="1">
      <c r="A305" s="20"/>
      <c r="B305" s="20"/>
      <c r="C305" s="20"/>
      <c r="D305" s="20"/>
      <c r="E305" s="20"/>
      <c r="F305" s="20"/>
      <c r="G305" s="20"/>
      <c r="H305" s="20"/>
      <c r="I305" s="21"/>
    </row>
    <row r="306" ht="20.25" customHeight="1">
      <c r="A306" s="20"/>
      <c r="B306" s="20"/>
      <c r="C306" s="20"/>
      <c r="D306" s="20"/>
      <c r="E306" s="20"/>
      <c r="F306" s="20"/>
      <c r="G306" s="20"/>
      <c r="H306" s="20"/>
      <c r="I306" s="21"/>
    </row>
    <row r="307" ht="20.25" customHeight="1">
      <c r="A307" s="20"/>
      <c r="B307" s="20"/>
      <c r="C307" s="20"/>
      <c r="D307" s="20"/>
      <c r="E307" s="20"/>
      <c r="F307" s="20"/>
      <c r="G307" s="20"/>
      <c r="H307" s="20"/>
      <c r="I307" s="21"/>
    </row>
    <row r="308" ht="20.25" customHeight="1">
      <c r="A308" s="20"/>
      <c r="B308" s="20"/>
      <c r="C308" s="20"/>
      <c r="D308" s="20"/>
      <c r="E308" s="20"/>
      <c r="F308" s="20"/>
      <c r="G308" s="20"/>
      <c r="H308" s="20"/>
      <c r="I308" s="21"/>
    </row>
    <row r="309" ht="20.25" customHeight="1">
      <c r="A309" s="20"/>
      <c r="B309" s="20"/>
      <c r="C309" s="20"/>
      <c r="D309" s="20"/>
      <c r="E309" s="20"/>
      <c r="F309" s="20"/>
      <c r="G309" s="20"/>
      <c r="H309" s="20"/>
      <c r="I309" s="21"/>
    </row>
    <row r="310" ht="20.25" customHeight="1">
      <c r="A310" s="20"/>
      <c r="B310" s="20"/>
      <c r="C310" s="20"/>
      <c r="D310" s="20"/>
      <c r="E310" s="20"/>
      <c r="F310" s="20"/>
      <c r="G310" s="20"/>
      <c r="H310" s="20"/>
      <c r="I310" s="21"/>
    </row>
    <row r="311" ht="20.25" customHeight="1">
      <c r="A311" s="20"/>
      <c r="B311" s="20"/>
      <c r="C311" s="20"/>
      <c r="D311" s="20"/>
      <c r="E311" s="20"/>
      <c r="F311" s="20"/>
      <c r="G311" s="20"/>
      <c r="H311" s="20"/>
      <c r="I311" s="21"/>
    </row>
    <row r="312" ht="20.25" customHeight="1">
      <c r="A312" s="20"/>
      <c r="B312" s="20"/>
      <c r="C312" s="20"/>
      <c r="D312" s="20"/>
      <c r="E312" s="20"/>
      <c r="F312" s="20"/>
      <c r="G312" s="20"/>
      <c r="H312" s="20"/>
      <c r="I312" s="21"/>
    </row>
    <row r="313" ht="20.25" customHeight="1">
      <c r="A313" s="20"/>
      <c r="B313" s="20"/>
      <c r="C313" s="20"/>
      <c r="D313" s="20"/>
      <c r="E313" s="20"/>
      <c r="F313" s="20"/>
      <c r="G313" s="20"/>
      <c r="H313" s="20"/>
      <c r="I313" s="21"/>
    </row>
    <row r="314" ht="20.25" customHeight="1">
      <c r="A314" s="20"/>
      <c r="B314" s="20"/>
      <c r="C314" s="20"/>
      <c r="D314" s="20"/>
      <c r="E314" s="20"/>
      <c r="F314" s="20"/>
      <c r="G314" s="20"/>
      <c r="H314" s="20"/>
      <c r="I314" s="21"/>
    </row>
    <row r="315" ht="20.25" customHeight="1">
      <c r="A315" s="20"/>
      <c r="B315" s="20"/>
      <c r="C315" s="20"/>
      <c r="D315" s="20"/>
      <c r="E315" s="20"/>
      <c r="F315" s="20"/>
      <c r="G315" s="20"/>
      <c r="H315" s="20"/>
      <c r="I315" s="21"/>
    </row>
    <row r="316" ht="20.25" customHeight="1">
      <c r="A316" s="20"/>
      <c r="B316" s="20"/>
      <c r="C316" s="20"/>
      <c r="D316" s="20"/>
      <c r="E316" s="20"/>
      <c r="F316" s="20"/>
      <c r="G316" s="20"/>
      <c r="H316" s="20"/>
      <c r="I316" s="21"/>
      <c r="J316" s="97"/>
    </row>
    <row r="317" ht="20.25" customHeight="1">
      <c r="A317" s="20"/>
      <c r="B317" s="20"/>
      <c r="C317" s="20"/>
      <c r="D317" s="20"/>
      <c r="E317" s="20"/>
      <c r="F317" s="20"/>
      <c r="G317" s="20"/>
      <c r="H317" s="20"/>
      <c r="I317" s="21"/>
      <c r="J317" s="97"/>
    </row>
    <row r="318" ht="20.25" customHeight="1">
      <c r="A318" s="20"/>
      <c r="B318" s="20"/>
      <c r="C318" s="20"/>
      <c r="D318" s="20"/>
      <c r="E318" s="20"/>
      <c r="F318" s="20"/>
      <c r="G318" s="20"/>
      <c r="H318" s="20"/>
      <c r="I318" s="21"/>
      <c r="J318" s="97"/>
    </row>
    <row r="319" ht="20.25" customHeight="1">
      <c r="A319" s="20"/>
      <c r="B319" s="20"/>
      <c r="C319" s="20"/>
      <c r="D319" s="20"/>
      <c r="E319" s="20"/>
      <c r="F319" s="20"/>
      <c r="G319" s="20"/>
      <c r="H319" s="20"/>
      <c r="I319" s="21"/>
      <c r="J319" s="97"/>
    </row>
    <row r="320" ht="20.25" customHeight="1">
      <c r="A320" s="20"/>
      <c r="B320" s="20"/>
      <c r="C320" s="20"/>
      <c r="D320" s="20"/>
      <c r="E320" s="20"/>
      <c r="F320" s="20"/>
      <c r="G320" s="20"/>
      <c r="H320" s="20"/>
      <c r="I320" s="21"/>
    </row>
    <row r="321" ht="20.25" customHeight="1">
      <c r="A321" s="20"/>
      <c r="B321" s="20"/>
      <c r="C321" s="20"/>
      <c r="D321" s="20"/>
      <c r="E321" s="20"/>
      <c r="F321" s="20"/>
      <c r="G321" s="20"/>
      <c r="H321" s="20"/>
      <c r="I321" s="21"/>
    </row>
    <row r="322" ht="20.25" customHeight="1">
      <c r="A322" s="20"/>
      <c r="B322" s="20"/>
      <c r="C322" s="20"/>
      <c r="D322" s="20"/>
      <c r="E322" s="20"/>
      <c r="F322" s="20"/>
      <c r="G322" s="20"/>
      <c r="H322" s="20"/>
      <c r="I322" s="21"/>
    </row>
    <row r="323" ht="20.25" customHeight="1">
      <c r="A323" s="20"/>
      <c r="B323" s="20"/>
      <c r="C323" s="20"/>
      <c r="D323" s="20"/>
      <c r="E323" s="20"/>
      <c r="F323" s="20"/>
      <c r="G323" s="20"/>
      <c r="H323" s="20"/>
      <c r="I323" s="21"/>
    </row>
    <row r="324" ht="20.25" customHeight="1">
      <c r="A324" s="20"/>
      <c r="B324" s="20"/>
      <c r="C324" s="20"/>
      <c r="D324" s="20"/>
      <c r="E324" s="20"/>
      <c r="F324" s="20"/>
      <c r="G324" s="20"/>
      <c r="H324" s="20"/>
      <c r="I324" s="21"/>
    </row>
    <row r="325" ht="20.25" customHeight="1">
      <c r="A325" s="20"/>
      <c r="B325" s="20"/>
      <c r="C325" s="20"/>
      <c r="D325" s="20"/>
      <c r="E325" s="20"/>
      <c r="F325" s="20"/>
      <c r="G325" s="20"/>
      <c r="H325" s="20"/>
      <c r="I325" s="21"/>
    </row>
    <row r="326" ht="20.25" customHeight="1">
      <c r="A326" s="20"/>
      <c r="B326" s="20"/>
      <c r="C326" s="20"/>
      <c r="D326" s="20"/>
      <c r="E326" s="20"/>
      <c r="F326" s="20"/>
      <c r="G326" s="20"/>
      <c r="H326" s="20"/>
      <c r="I326" s="21"/>
    </row>
    <row r="327" ht="20.25" customHeight="1">
      <c r="A327" s="20"/>
      <c r="B327" s="20"/>
      <c r="C327" s="20"/>
      <c r="D327" s="20"/>
      <c r="E327" s="20"/>
      <c r="F327" s="20"/>
      <c r="G327" s="20"/>
      <c r="H327" s="20"/>
      <c r="I327" s="21"/>
    </row>
    <row r="328" ht="20.25" customHeight="1">
      <c r="A328" s="20"/>
      <c r="B328" s="20"/>
      <c r="C328" s="20"/>
      <c r="D328" s="20"/>
      <c r="E328" s="20"/>
      <c r="F328" s="20"/>
      <c r="G328" s="20"/>
      <c r="H328" s="20"/>
      <c r="I328" s="21"/>
    </row>
    <row r="329" ht="20.25" customHeight="1">
      <c r="A329" s="20"/>
      <c r="B329" s="20"/>
      <c r="C329" s="20"/>
      <c r="D329" s="20"/>
      <c r="E329" s="20"/>
      <c r="F329" s="20"/>
      <c r="G329" s="20"/>
      <c r="H329" s="20"/>
      <c r="I329" s="21"/>
      <c r="J329" s="97"/>
    </row>
    <row r="330" ht="20.25" customHeight="1">
      <c r="A330" s="20"/>
      <c r="B330" s="20"/>
      <c r="C330" s="20"/>
      <c r="D330" s="20"/>
      <c r="E330" s="20"/>
      <c r="F330" s="20"/>
      <c r="G330" s="20"/>
      <c r="H330" s="20"/>
      <c r="I330" s="21"/>
      <c r="J330" s="97"/>
    </row>
    <row r="331" ht="20.25" customHeight="1">
      <c r="A331" s="20"/>
      <c r="B331" s="20"/>
      <c r="C331" s="20"/>
      <c r="D331" s="20"/>
      <c r="E331" s="20"/>
      <c r="F331" s="20"/>
      <c r="G331" s="20"/>
      <c r="H331" s="20"/>
      <c r="I331" s="21"/>
      <c r="J331" s="97"/>
    </row>
    <row r="332" ht="20.25" customHeight="1">
      <c r="A332" s="20"/>
      <c r="B332" s="20"/>
      <c r="C332" s="20"/>
      <c r="D332" s="20"/>
      <c r="E332" s="20"/>
      <c r="F332" s="20"/>
      <c r="G332" s="20"/>
      <c r="H332" s="20"/>
      <c r="I332" s="21"/>
    </row>
    <row r="333" ht="20.25" customHeight="1">
      <c r="A333" s="20"/>
      <c r="B333" s="20"/>
      <c r="C333" s="20"/>
      <c r="D333" s="20"/>
      <c r="E333" s="20"/>
      <c r="F333" s="20"/>
      <c r="G333" s="20"/>
      <c r="H333" s="20"/>
      <c r="I333" s="21"/>
    </row>
    <row r="334" ht="20.25" customHeight="1">
      <c r="A334" s="20"/>
      <c r="B334" s="20"/>
      <c r="C334" s="20"/>
      <c r="D334" s="20"/>
      <c r="E334" s="20"/>
      <c r="F334" s="20"/>
      <c r="G334" s="20"/>
      <c r="H334" s="20"/>
      <c r="I334" s="21"/>
    </row>
    <row r="335" ht="20.25" customHeight="1">
      <c r="A335" s="20"/>
      <c r="B335" s="20"/>
      <c r="C335" s="20"/>
      <c r="D335" s="20"/>
      <c r="E335" s="20"/>
      <c r="F335" s="20"/>
      <c r="G335" s="20"/>
      <c r="H335" s="20"/>
      <c r="I335" s="21"/>
    </row>
    <row r="336" ht="20.25" customHeight="1">
      <c r="A336" s="20"/>
      <c r="B336" s="20"/>
      <c r="C336" s="20"/>
      <c r="D336" s="20"/>
      <c r="E336" s="20"/>
      <c r="F336" s="20"/>
      <c r="G336" s="20"/>
      <c r="H336" s="20"/>
      <c r="I336" s="21"/>
    </row>
    <row r="337" ht="20.25" customHeight="1">
      <c r="A337" s="20"/>
      <c r="B337" s="20"/>
      <c r="C337" s="20"/>
      <c r="D337" s="20"/>
      <c r="E337" s="20"/>
      <c r="F337" s="20"/>
      <c r="G337" s="20"/>
      <c r="H337" s="20"/>
      <c r="I337" s="21"/>
    </row>
    <row r="338" ht="20.25" customHeight="1">
      <c r="A338" s="20"/>
      <c r="B338" s="20"/>
      <c r="C338" s="20"/>
      <c r="D338" s="20"/>
      <c r="E338" s="20"/>
      <c r="F338" s="20"/>
      <c r="G338" s="20"/>
      <c r="H338" s="20"/>
      <c r="I338" s="21"/>
    </row>
    <row r="339" ht="20.25" customHeight="1">
      <c r="A339" s="20"/>
      <c r="B339" s="20"/>
      <c r="C339" s="20"/>
      <c r="D339" s="20"/>
      <c r="E339" s="20"/>
      <c r="F339" s="20"/>
      <c r="G339" s="20"/>
      <c r="H339" s="20"/>
      <c r="I339" s="21"/>
    </row>
    <row r="340" ht="20.25" customHeight="1">
      <c r="A340" s="20"/>
      <c r="B340" s="20"/>
      <c r="C340" s="20"/>
      <c r="D340" s="20"/>
      <c r="E340" s="20"/>
      <c r="F340" s="20"/>
      <c r="G340" s="20"/>
      <c r="H340" s="20"/>
      <c r="I340" s="21"/>
    </row>
    <row r="341" ht="20.25" customHeight="1">
      <c r="A341" s="20"/>
      <c r="B341" s="20"/>
      <c r="C341" s="20"/>
      <c r="D341" s="20"/>
      <c r="E341" s="20"/>
      <c r="F341" s="20"/>
      <c r="G341" s="20"/>
      <c r="H341" s="20"/>
      <c r="I341" s="21"/>
    </row>
    <row r="342" ht="20.25" customHeight="1">
      <c r="A342" s="20"/>
      <c r="B342" s="20"/>
      <c r="C342" s="20"/>
      <c r="D342" s="20"/>
      <c r="E342" s="20"/>
      <c r="F342" s="20"/>
      <c r="G342" s="20"/>
      <c r="H342" s="20"/>
      <c r="I342" s="21"/>
    </row>
    <row r="343" ht="20.25" customHeight="1">
      <c r="A343" s="20"/>
      <c r="B343" s="20"/>
      <c r="C343" s="20"/>
      <c r="D343" s="20"/>
      <c r="E343" s="20"/>
      <c r="F343" s="20"/>
      <c r="G343" s="20"/>
      <c r="H343" s="20"/>
      <c r="I343" s="21"/>
    </row>
    <row r="344" ht="20.25" customHeight="1">
      <c r="A344" s="20"/>
      <c r="B344" s="20"/>
      <c r="C344" s="20"/>
      <c r="D344" s="20"/>
      <c r="E344" s="20"/>
      <c r="F344" s="20"/>
      <c r="G344" s="20"/>
      <c r="H344" s="20"/>
      <c r="I344" s="21"/>
      <c r="J344" s="97"/>
    </row>
    <row r="345" ht="20.25" customHeight="1">
      <c r="A345" s="20"/>
      <c r="B345" s="20"/>
      <c r="C345" s="20"/>
      <c r="D345" s="20"/>
      <c r="E345" s="20"/>
      <c r="F345" s="20"/>
      <c r="G345" s="20"/>
      <c r="H345" s="20"/>
      <c r="I345" s="21"/>
      <c r="J345" s="97"/>
    </row>
    <row r="346" ht="20.25" customHeight="1">
      <c r="A346" s="20"/>
      <c r="B346" s="20"/>
      <c r="C346" s="20"/>
      <c r="D346" s="20"/>
      <c r="E346" s="20"/>
      <c r="F346" s="20"/>
      <c r="G346" s="20"/>
      <c r="H346" s="20"/>
      <c r="I346" s="21"/>
      <c r="J346" s="97"/>
    </row>
    <row r="347" ht="20.25" customHeight="1">
      <c r="A347" s="20"/>
      <c r="B347" s="20"/>
      <c r="C347" s="20"/>
      <c r="D347" s="20"/>
      <c r="E347" s="20"/>
      <c r="F347" s="20"/>
      <c r="G347" s="20"/>
      <c r="H347" s="20"/>
      <c r="I347" s="21"/>
    </row>
    <row r="348" ht="20.25" customHeight="1">
      <c r="A348" s="20"/>
      <c r="B348" s="20"/>
      <c r="C348" s="20"/>
      <c r="D348" s="20"/>
      <c r="E348" s="20"/>
      <c r="F348" s="20"/>
      <c r="G348" s="20"/>
      <c r="H348" s="20"/>
      <c r="I348" s="21"/>
    </row>
    <row r="349" ht="20.25" customHeight="1">
      <c r="A349" s="20"/>
      <c r="B349" s="20"/>
      <c r="C349" s="20"/>
      <c r="D349" s="20"/>
      <c r="E349" s="20"/>
      <c r="F349" s="20"/>
      <c r="G349" s="20"/>
      <c r="H349" s="20"/>
      <c r="I349" s="21"/>
    </row>
    <row r="350" ht="20.25" customHeight="1">
      <c r="A350" s="20"/>
      <c r="B350" s="20"/>
      <c r="C350" s="20"/>
      <c r="D350" s="20"/>
      <c r="E350" s="20"/>
      <c r="F350" s="20"/>
      <c r="G350" s="20"/>
      <c r="H350" s="20"/>
      <c r="I350" s="21"/>
      <c r="J350" s="97"/>
    </row>
    <row r="351" ht="20.25" customHeight="1">
      <c r="A351" s="20"/>
      <c r="B351" s="20"/>
      <c r="C351" s="20"/>
      <c r="D351" s="20"/>
      <c r="E351" s="20"/>
      <c r="F351" s="20"/>
      <c r="G351" s="20"/>
      <c r="H351" s="20"/>
      <c r="I351" s="21"/>
      <c r="J351" s="97"/>
    </row>
    <row r="352" ht="20.25" customHeight="1">
      <c r="A352" s="20"/>
      <c r="B352" s="20"/>
      <c r="C352" s="20"/>
      <c r="D352" s="20"/>
      <c r="E352" s="20"/>
      <c r="F352" s="20"/>
      <c r="G352" s="20"/>
      <c r="H352" s="20"/>
      <c r="I352" s="21"/>
      <c r="J352" s="97"/>
    </row>
    <row r="353" ht="20.25" customHeight="1">
      <c r="A353" s="20"/>
      <c r="B353" s="20"/>
      <c r="C353" s="20"/>
      <c r="D353" s="20"/>
      <c r="E353" s="20"/>
      <c r="F353" s="20"/>
      <c r="G353" s="20"/>
      <c r="H353" s="20"/>
      <c r="I353" s="21"/>
      <c r="J353" s="97"/>
    </row>
    <row r="354" ht="20.25" customHeight="1">
      <c r="A354" s="20"/>
      <c r="B354" s="20"/>
      <c r="C354" s="20"/>
      <c r="D354" s="20"/>
      <c r="E354" s="20"/>
      <c r="F354" s="20"/>
      <c r="G354" s="20"/>
      <c r="H354" s="20"/>
      <c r="I354" s="21"/>
      <c r="J354" s="97"/>
    </row>
    <row r="355" ht="20.25" customHeight="1">
      <c r="A355" s="20"/>
      <c r="B355" s="20"/>
      <c r="C355" s="20"/>
      <c r="D355" s="20"/>
      <c r="E355" s="20"/>
      <c r="F355" s="20"/>
      <c r="G355" s="20"/>
      <c r="H355" s="20"/>
      <c r="I355" s="21"/>
      <c r="J355" s="97"/>
    </row>
    <row r="356" ht="20.25" customHeight="1">
      <c r="A356" s="20"/>
      <c r="B356" s="20"/>
      <c r="C356" s="20"/>
      <c r="D356" s="20"/>
      <c r="E356" s="20"/>
      <c r="F356" s="20"/>
      <c r="G356" s="20"/>
      <c r="H356" s="20"/>
      <c r="I356" s="21"/>
    </row>
    <row r="357" ht="20.25" customHeight="1">
      <c r="A357" s="20"/>
      <c r="B357" s="20"/>
      <c r="C357" s="20"/>
      <c r="D357" s="20"/>
      <c r="E357" s="20"/>
      <c r="F357" s="20"/>
      <c r="G357" s="20"/>
      <c r="H357" s="20"/>
      <c r="I357" s="21"/>
    </row>
    <row r="358" ht="20.25" customHeight="1">
      <c r="A358" s="20"/>
      <c r="B358" s="20"/>
      <c r="C358" s="20"/>
      <c r="D358" s="20"/>
      <c r="E358" s="20"/>
      <c r="F358" s="20"/>
      <c r="G358" s="20"/>
      <c r="H358" s="20"/>
      <c r="I358" s="21"/>
    </row>
    <row r="359" ht="20.25" customHeight="1">
      <c r="A359" s="20"/>
      <c r="B359" s="20"/>
      <c r="C359" s="20"/>
      <c r="D359" s="20"/>
      <c r="E359" s="20"/>
      <c r="F359" s="20"/>
      <c r="G359" s="20"/>
      <c r="H359" s="20"/>
      <c r="I359" s="21"/>
    </row>
    <row r="360" ht="20.25" customHeight="1">
      <c r="A360" s="20"/>
      <c r="B360" s="20"/>
      <c r="C360" s="20"/>
      <c r="D360" s="20"/>
      <c r="E360" s="20"/>
      <c r="F360" s="20"/>
      <c r="G360" s="20"/>
      <c r="H360" s="20"/>
      <c r="I360" s="21"/>
    </row>
    <row r="361" ht="20.25" customHeight="1">
      <c r="A361" s="20"/>
      <c r="B361" s="20"/>
      <c r="C361" s="20"/>
      <c r="D361" s="20"/>
      <c r="E361" s="20"/>
      <c r="F361" s="20"/>
      <c r="G361" s="20"/>
      <c r="H361" s="20"/>
      <c r="I361" s="21"/>
    </row>
    <row r="362" ht="20.25" customHeight="1">
      <c r="A362" s="20"/>
      <c r="B362" s="20"/>
      <c r="C362" s="20"/>
      <c r="D362" s="20"/>
      <c r="E362" s="20"/>
      <c r="F362" s="20"/>
      <c r="G362" s="20"/>
      <c r="H362" s="20"/>
      <c r="I362" s="21"/>
    </row>
    <row r="363" ht="20.25" customHeight="1">
      <c r="A363" s="20"/>
      <c r="B363" s="20"/>
      <c r="C363" s="20"/>
      <c r="D363" s="20"/>
      <c r="E363" s="20"/>
      <c r="F363" s="20"/>
      <c r="G363" s="20"/>
      <c r="H363" s="20"/>
      <c r="I363" s="21"/>
    </row>
    <row r="364" ht="20.25" customHeight="1">
      <c r="A364" s="20"/>
      <c r="B364" s="20"/>
      <c r="C364" s="20"/>
      <c r="D364" s="20"/>
      <c r="E364" s="20"/>
      <c r="F364" s="20"/>
      <c r="G364" s="20"/>
      <c r="H364" s="20"/>
      <c r="I364" s="21"/>
      <c r="J364" s="97"/>
    </row>
    <row r="365" ht="20.25" customHeight="1">
      <c r="A365" s="20"/>
      <c r="B365" s="20"/>
      <c r="C365" s="20"/>
      <c r="D365" s="20"/>
      <c r="E365" s="20"/>
      <c r="F365" s="20"/>
      <c r="G365" s="20"/>
      <c r="H365" s="20"/>
      <c r="I365" s="21"/>
    </row>
    <row r="366" ht="20.25" customHeight="1">
      <c r="A366" s="20"/>
      <c r="B366" s="20"/>
      <c r="C366" s="20"/>
      <c r="D366" s="20"/>
      <c r="E366" s="20"/>
      <c r="F366" s="20"/>
      <c r="G366" s="20"/>
      <c r="H366" s="20"/>
      <c r="I366" s="21"/>
    </row>
    <row r="367" ht="20.25" customHeight="1">
      <c r="A367" s="20"/>
      <c r="B367" s="20"/>
      <c r="C367" s="20"/>
      <c r="D367" s="20"/>
      <c r="E367" s="20"/>
      <c r="F367" s="20"/>
      <c r="G367" s="20"/>
      <c r="H367" s="20"/>
      <c r="I367" s="21"/>
    </row>
    <row r="368" ht="20.25" customHeight="1">
      <c r="A368" s="20"/>
      <c r="B368" s="20"/>
      <c r="C368" s="20"/>
      <c r="D368" s="20"/>
      <c r="E368" s="20"/>
      <c r="F368" s="20"/>
      <c r="G368" s="20"/>
      <c r="H368" s="20"/>
      <c r="I368" s="21"/>
    </row>
    <row r="369" ht="20.25" customHeight="1">
      <c r="A369" s="20"/>
      <c r="B369" s="20"/>
      <c r="C369" s="20"/>
      <c r="D369" s="20"/>
      <c r="E369" s="20"/>
      <c r="F369" s="20"/>
      <c r="G369" s="20"/>
      <c r="H369" s="20"/>
      <c r="I369" s="21"/>
    </row>
    <row r="370" ht="20.25" customHeight="1">
      <c r="A370" s="20"/>
      <c r="B370" s="20"/>
      <c r="C370" s="20"/>
      <c r="D370" s="20"/>
      <c r="E370" s="20"/>
      <c r="F370" s="20"/>
      <c r="G370" s="20"/>
      <c r="H370" s="20"/>
      <c r="I370" s="21"/>
    </row>
    <row r="371" ht="20.25" customHeight="1">
      <c r="A371" s="20"/>
      <c r="B371" s="20"/>
      <c r="C371" s="20"/>
      <c r="D371" s="20"/>
      <c r="E371" s="20"/>
      <c r="F371" s="20"/>
      <c r="G371" s="20"/>
      <c r="H371" s="20"/>
      <c r="I371" s="21"/>
    </row>
    <row r="372" ht="20.25" customHeight="1">
      <c r="A372" s="20"/>
      <c r="B372" s="20"/>
      <c r="C372" s="20"/>
      <c r="D372" s="20"/>
      <c r="E372" s="20"/>
      <c r="F372" s="20"/>
      <c r="G372" s="20"/>
      <c r="H372" s="20"/>
      <c r="I372" s="21"/>
    </row>
    <row r="373" ht="20.25" customHeight="1">
      <c r="A373" s="20"/>
      <c r="B373" s="20"/>
      <c r="C373" s="20"/>
      <c r="D373" s="20"/>
      <c r="E373" s="20"/>
      <c r="F373" s="20"/>
      <c r="G373" s="20"/>
      <c r="H373" s="20"/>
      <c r="I373" s="21"/>
    </row>
    <row r="374" ht="20.25" customHeight="1">
      <c r="A374" s="20"/>
      <c r="B374" s="20"/>
      <c r="C374" s="20"/>
      <c r="D374" s="20"/>
      <c r="E374" s="20"/>
      <c r="F374" s="20"/>
      <c r="G374" s="20"/>
      <c r="H374" s="20"/>
      <c r="I374" s="21"/>
    </row>
    <row r="375" ht="20.25" customHeight="1">
      <c r="A375" s="20"/>
      <c r="B375" s="20"/>
      <c r="C375" s="20"/>
      <c r="D375" s="20"/>
      <c r="E375" s="20"/>
      <c r="F375" s="20"/>
      <c r="G375" s="20"/>
      <c r="H375" s="20"/>
      <c r="I375" s="21"/>
      <c r="J375" s="97"/>
    </row>
    <row r="376" ht="20.25" customHeight="1">
      <c r="A376" s="20"/>
      <c r="B376" s="20"/>
      <c r="C376" s="20"/>
      <c r="D376" s="20"/>
      <c r="E376" s="20"/>
      <c r="F376" s="20"/>
      <c r="G376" s="20"/>
      <c r="H376" s="20"/>
      <c r="I376" s="21"/>
      <c r="J376" s="97"/>
    </row>
    <row r="377" ht="20.25" customHeight="1">
      <c r="A377" s="20"/>
      <c r="B377" s="20"/>
      <c r="C377" s="20"/>
      <c r="D377" s="20"/>
      <c r="E377" s="20"/>
      <c r="F377" s="20"/>
      <c r="G377" s="20"/>
      <c r="H377" s="20"/>
      <c r="I377" s="21"/>
      <c r="J377" s="97"/>
    </row>
    <row r="378" ht="20.25" customHeight="1">
      <c r="A378" s="20"/>
      <c r="B378" s="20"/>
      <c r="C378" s="20"/>
      <c r="D378" s="20"/>
      <c r="E378" s="20"/>
      <c r="F378" s="20"/>
      <c r="G378" s="20"/>
      <c r="H378" s="20"/>
      <c r="I378" s="21"/>
    </row>
    <row r="379" ht="20.25" customHeight="1">
      <c r="A379" s="20"/>
      <c r="B379" s="20"/>
      <c r="C379" s="20"/>
      <c r="D379" s="20"/>
      <c r="E379" s="20"/>
      <c r="F379" s="20"/>
      <c r="G379" s="20"/>
      <c r="H379" s="20"/>
      <c r="I379" s="21"/>
    </row>
    <row r="380" ht="20.25" customHeight="1">
      <c r="A380" s="20"/>
      <c r="B380" s="20"/>
      <c r="C380" s="20"/>
      <c r="D380" s="20"/>
      <c r="E380" s="20"/>
      <c r="F380" s="20"/>
      <c r="G380" s="20"/>
      <c r="H380" s="20"/>
      <c r="I380" s="21"/>
    </row>
    <row r="381" ht="20.25" customHeight="1">
      <c r="A381" s="20"/>
      <c r="B381" s="20"/>
      <c r="C381" s="20"/>
      <c r="D381" s="20"/>
      <c r="E381" s="20"/>
      <c r="F381" s="20"/>
      <c r="G381" s="20"/>
      <c r="H381" s="20"/>
      <c r="I381" s="21"/>
    </row>
    <row r="382" ht="20.25" customHeight="1">
      <c r="A382" s="20"/>
      <c r="B382" s="20"/>
      <c r="C382" s="20"/>
      <c r="D382" s="20"/>
      <c r="E382" s="20"/>
      <c r="F382" s="20"/>
      <c r="G382" s="20"/>
      <c r="H382" s="20"/>
      <c r="I382" s="21"/>
    </row>
    <row r="383" ht="20.25" customHeight="1">
      <c r="A383" s="20"/>
      <c r="B383" s="20"/>
      <c r="C383" s="20"/>
      <c r="D383" s="20"/>
      <c r="E383" s="20"/>
      <c r="F383" s="20"/>
      <c r="G383" s="20"/>
      <c r="H383" s="20"/>
      <c r="I383" s="21"/>
    </row>
    <row r="384" ht="20.25" customHeight="1">
      <c r="A384" s="20"/>
      <c r="B384" s="20"/>
      <c r="C384" s="20"/>
      <c r="D384" s="20"/>
      <c r="E384" s="20"/>
      <c r="F384" s="20"/>
      <c r="G384" s="20"/>
      <c r="H384" s="20"/>
      <c r="I384" s="21"/>
    </row>
    <row r="385" ht="20.25" customHeight="1">
      <c r="A385" s="20"/>
      <c r="B385" s="20"/>
      <c r="C385" s="20"/>
      <c r="D385" s="20"/>
      <c r="E385" s="20"/>
      <c r="F385" s="20"/>
      <c r="G385" s="20"/>
      <c r="H385" s="20"/>
      <c r="I385" s="21"/>
    </row>
    <row r="386" ht="20.25" customHeight="1">
      <c r="A386" s="20"/>
      <c r="B386" s="20"/>
      <c r="C386" s="20"/>
      <c r="D386" s="20"/>
      <c r="E386" s="20"/>
      <c r="F386" s="20"/>
      <c r="G386" s="20"/>
      <c r="H386" s="20"/>
      <c r="I386" s="21"/>
    </row>
    <row r="387" ht="20.25" customHeight="1">
      <c r="A387" s="20"/>
      <c r="B387" s="20"/>
      <c r="C387" s="20"/>
      <c r="D387" s="20"/>
      <c r="E387" s="20"/>
      <c r="F387" s="20"/>
      <c r="G387" s="20"/>
      <c r="H387" s="20"/>
      <c r="I387" s="21"/>
    </row>
    <row r="388" ht="20.25" customHeight="1">
      <c r="A388" s="20"/>
      <c r="B388" s="20"/>
      <c r="C388" s="20"/>
      <c r="D388" s="20"/>
      <c r="E388" s="20"/>
      <c r="F388" s="20"/>
      <c r="G388" s="20"/>
      <c r="H388" s="20"/>
      <c r="I388" s="21"/>
    </row>
    <row r="389" ht="20.25" customHeight="1">
      <c r="A389" s="20"/>
      <c r="B389" s="20"/>
      <c r="C389" s="20"/>
      <c r="D389" s="20"/>
      <c r="E389" s="20"/>
      <c r="F389" s="20"/>
      <c r="G389" s="20"/>
      <c r="H389" s="20"/>
      <c r="I389" s="21"/>
    </row>
    <row r="390" ht="20.25" customHeight="1">
      <c r="A390" s="20"/>
      <c r="B390" s="20"/>
      <c r="C390" s="20"/>
      <c r="D390" s="20"/>
      <c r="E390" s="20"/>
      <c r="F390" s="20"/>
      <c r="G390" s="20"/>
      <c r="H390" s="20"/>
      <c r="I390" s="21"/>
    </row>
    <row r="391" ht="20.25" customHeight="1">
      <c r="A391" s="20"/>
      <c r="B391" s="20"/>
      <c r="C391" s="20"/>
      <c r="D391" s="20"/>
      <c r="E391" s="20"/>
      <c r="F391" s="20"/>
      <c r="G391" s="20"/>
      <c r="H391" s="20"/>
      <c r="I391" s="21"/>
    </row>
    <row r="392" ht="20.25" customHeight="1">
      <c r="A392" s="20"/>
      <c r="B392" s="20"/>
      <c r="C392" s="20"/>
      <c r="D392" s="20"/>
      <c r="E392" s="20"/>
      <c r="F392" s="20"/>
      <c r="G392" s="20"/>
      <c r="H392" s="20"/>
      <c r="I392" s="21"/>
    </row>
    <row r="393" ht="20.25" customHeight="1">
      <c r="A393" s="20"/>
      <c r="B393" s="20"/>
      <c r="C393" s="20"/>
      <c r="D393" s="20"/>
      <c r="E393" s="20"/>
      <c r="F393" s="20"/>
      <c r="G393" s="20"/>
      <c r="H393" s="20"/>
      <c r="I393" s="21"/>
    </row>
    <row r="394" ht="20.25" customHeight="1">
      <c r="A394" s="20"/>
      <c r="B394" s="20"/>
      <c r="C394" s="20"/>
      <c r="D394" s="20"/>
      <c r="E394" s="20"/>
      <c r="F394" s="20"/>
      <c r="G394" s="20"/>
      <c r="H394" s="20"/>
      <c r="I394" s="21"/>
    </row>
    <row r="395" ht="20.25" customHeight="1">
      <c r="A395" s="20"/>
      <c r="B395" s="20"/>
      <c r="C395" s="20"/>
      <c r="D395" s="20"/>
      <c r="E395" s="20"/>
      <c r="F395" s="20"/>
      <c r="G395" s="20"/>
      <c r="H395" s="20"/>
      <c r="I395" s="21"/>
    </row>
    <row r="396" ht="20.25" customHeight="1">
      <c r="A396" s="20"/>
      <c r="B396" s="20"/>
      <c r="C396" s="20"/>
      <c r="D396" s="20"/>
      <c r="E396" s="20"/>
      <c r="F396" s="20"/>
      <c r="G396" s="20"/>
      <c r="H396" s="20"/>
      <c r="I396" s="21"/>
    </row>
    <row r="397" ht="20.25" customHeight="1">
      <c r="A397" s="20"/>
      <c r="B397" s="20"/>
      <c r="C397" s="20"/>
      <c r="D397" s="20"/>
      <c r="E397" s="20"/>
      <c r="F397" s="20"/>
      <c r="G397" s="20"/>
      <c r="H397" s="20"/>
      <c r="I397" s="21"/>
    </row>
    <row r="398" ht="20.25" customHeight="1">
      <c r="A398" s="20"/>
      <c r="B398" s="20"/>
      <c r="C398" s="20"/>
      <c r="D398" s="20"/>
      <c r="E398" s="20"/>
      <c r="F398" s="20"/>
      <c r="G398" s="20"/>
      <c r="H398" s="20"/>
      <c r="I398" s="21"/>
    </row>
    <row r="399" ht="20.25" customHeight="1">
      <c r="A399" s="20"/>
      <c r="B399" s="20"/>
      <c r="C399" s="20"/>
      <c r="D399" s="20"/>
      <c r="E399" s="20"/>
      <c r="F399" s="20"/>
      <c r="G399" s="20"/>
      <c r="H399" s="20"/>
      <c r="I399" s="21"/>
    </row>
    <row r="400" ht="20.25" customHeight="1">
      <c r="A400" s="20"/>
      <c r="B400" s="20"/>
      <c r="C400" s="20"/>
      <c r="D400" s="20"/>
      <c r="E400" s="20"/>
      <c r="F400" s="20"/>
      <c r="G400" s="20"/>
      <c r="H400" s="20"/>
      <c r="I400" s="21"/>
    </row>
    <row r="401" ht="20.25" customHeight="1">
      <c r="A401" s="20"/>
      <c r="B401" s="20"/>
      <c r="C401" s="20"/>
      <c r="D401" s="20"/>
      <c r="E401" s="20"/>
      <c r="F401" s="20"/>
      <c r="G401" s="20"/>
      <c r="H401" s="20"/>
      <c r="I401" s="21"/>
    </row>
    <row r="402" ht="20.25" customHeight="1">
      <c r="A402" s="20"/>
      <c r="B402" s="20"/>
      <c r="C402" s="20"/>
      <c r="D402" s="20"/>
      <c r="E402" s="20"/>
      <c r="F402" s="20"/>
      <c r="G402" s="20"/>
      <c r="H402" s="20"/>
      <c r="I402" s="21"/>
    </row>
    <row r="403" ht="20.25" customHeight="1">
      <c r="A403" s="20"/>
      <c r="B403" s="20"/>
      <c r="C403" s="20"/>
      <c r="D403" s="20"/>
      <c r="E403" s="20"/>
      <c r="F403" s="20"/>
      <c r="G403" s="20"/>
      <c r="H403" s="20"/>
      <c r="I403" s="21"/>
    </row>
    <row r="404" ht="20.25" customHeight="1">
      <c r="A404" s="20"/>
      <c r="B404" s="20"/>
      <c r="C404" s="20"/>
      <c r="D404" s="20"/>
      <c r="E404" s="20"/>
      <c r="F404" s="20"/>
      <c r="G404" s="20"/>
      <c r="H404" s="20"/>
      <c r="I404" s="21"/>
    </row>
    <row r="405" ht="20.25" customHeight="1">
      <c r="A405" s="20"/>
      <c r="B405" s="20"/>
      <c r="C405" s="20"/>
      <c r="D405" s="20"/>
      <c r="E405" s="20"/>
      <c r="F405" s="20"/>
      <c r="G405" s="20"/>
      <c r="H405" s="20"/>
      <c r="I405" s="21"/>
    </row>
    <row r="406" ht="20.25" customHeight="1">
      <c r="A406" s="20"/>
      <c r="B406" s="20"/>
      <c r="C406" s="20"/>
      <c r="D406" s="20"/>
      <c r="E406" s="20"/>
      <c r="F406" s="20"/>
      <c r="G406" s="20"/>
      <c r="H406" s="20"/>
      <c r="I406" s="21"/>
    </row>
    <row r="407" ht="20.25" customHeight="1">
      <c r="A407" s="20"/>
      <c r="B407" s="20"/>
      <c r="C407" s="20"/>
      <c r="D407" s="20"/>
      <c r="E407" s="20"/>
      <c r="F407" s="20"/>
      <c r="G407" s="20"/>
      <c r="H407" s="20"/>
      <c r="I407" s="21"/>
    </row>
    <row r="408" ht="20.25" customHeight="1">
      <c r="A408" s="20"/>
      <c r="B408" s="20"/>
      <c r="C408" s="20"/>
      <c r="D408" s="20"/>
      <c r="E408" s="20"/>
      <c r="F408" s="20"/>
      <c r="G408" s="20"/>
      <c r="H408" s="20"/>
      <c r="I408" s="21"/>
    </row>
    <row r="409" ht="20.25" customHeight="1">
      <c r="A409" s="20"/>
      <c r="B409" s="20"/>
      <c r="C409" s="20"/>
      <c r="D409" s="20"/>
      <c r="E409" s="20"/>
      <c r="F409" s="20"/>
      <c r="G409" s="20"/>
      <c r="H409" s="20"/>
      <c r="I409" s="21"/>
    </row>
    <row r="410" ht="20.25" customHeight="1">
      <c r="A410" s="20"/>
      <c r="B410" s="20"/>
      <c r="C410" s="20"/>
      <c r="D410" s="20"/>
      <c r="E410" s="20"/>
      <c r="F410" s="20"/>
      <c r="G410" s="20"/>
      <c r="H410" s="20"/>
      <c r="I410" s="21"/>
    </row>
    <row r="411" ht="20.25" customHeight="1">
      <c r="A411" s="20"/>
      <c r="B411" s="20"/>
      <c r="C411" s="20"/>
      <c r="D411" s="20"/>
      <c r="E411" s="20"/>
      <c r="F411" s="20"/>
      <c r="G411" s="20"/>
      <c r="H411" s="20"/>
      <c r="I411" s="21"/>
    </row>
    <row r="412" ht="20.25" customHeight="1">
      <c r="A412" s="20"/>
      <c r="B412" s="20"/>
      <c r="C412" s="20"/>
      <c r="D412" s="20"/>
      <c r="E412" s="20"/>
      <c r="F412" s="20"/>
      <c r="G412" s="20"/>
      <c r="H412" s="20"/>
      <c r="I412" s="21"/>
    </row>
    <row r="413" ht="20.25" customHeight="1">
      <c r="A413" s="20"/>
      <c r="B413" s="20"/>
      <c r="C413" s="20"/>
      <c r="D413" s="20"/>
      <c r="E413" s="20"/>
      <c r="F413" s="20"/>
      <c r="G413" s="20"/>
      <c r="H413" s="20"/>
      <c r="I413" s="21"/>
    </row>
    <row r="414" ht="20.25" customHeight="1">
      <c r="A414" s="20"/>
      <c r="B414" s="20"/>
      <c r="C414" s="20"/>
      <c r="D414" s="20"/>
      <c r="E414" s="20"/>
      <c r="F414" s="20"/>
      <c r="G414" s="20"/>
      <c r="H414" s="20"/>
      <c r="I414" s="21"/>
    </row>
    <row r="415" ht="20.25" customHeight="1">
      <c r="A415" s="20"/>
      <c r="B415" s="20"/>
      <c r="C415" s="20"/>
      <c r="D415" s="20"/>
      <c r="E415" s="20"/>
      <c r="F415" s="20"/>
      <c r="G415" s="20"/>
      <c r="H415" s="20"/>
      <c r="I415" s="21"/>
    </row>
    <row r="416" ht="20.25" customHeight="1">
      <c r="A416" s="20"/>
      <c r="B416" s="20"/>
      <c r="C416" s="20"/>
      <c r="D416" s="20"/>
      <c r="E416" s="20"/>
      <c r="F416" s="20"/>
      <c r="G416" s="20"/>
      <c r="H416" s="20"/>
      <c r="I416" s="21"/>
    </row>
    <row r="417" ht="20.25" customHeight="1">
      <c r="A417" s="20"/>
      <c r="B417" s="20"/>
      <c r="C417" s="20"/>
      <c r="D417" s="20"/>
      <c r="E417" s="20"/>
      <c r="F417" s="20"/>
      <c r="G417" s="20"/>
      <c r="H417" s="20"/>
      <c r="I417" s="21"/>
    </row>
    <row r="418" ht="20.25" customHeight="1">
      <c r="A418" s="20"/>
      <c r="B418" s="20"/>
      <c r="C418" s="20"/>
      <c r="D418" s="20"/>
      <c r="E418" s="20"/>
      <c r="F418" s="20"/>
      <c r="G418" s="20"/>
      <c r="H418" s="20"/>
      <c r="I418" s="21"/>
    </row>
    <row r="419" ht="20.25" customHeight="1">
      <c r="A419" s="20"/>
      <c r="B419" s="20"/>
      <c r="C419" s="20"/>
      <c r="D419" s="20"/>
      <c r="E419" s="20"/>
      <c r="F419" s="20"/>
      <c r="G419" s="20"/>
      <c r="H419" s="20"/>
      <c r="I419" s="21"/>
    </row>
    <row r="420" ht="20.25" customHeight="1">
      <c r="A420" s="20"/>
      <c r="B420" s="20"/>
      <c r="C420" s="20"/>
      <c r="D420" s="20"/>
      <c r="E420" s="20"/>
      <c r="F420" s="20"/>
      <c r="G420" s="20"/>
      <c r="H420" s="20"/>
      <c r="I420" s="21"/>
    </row>
    <row r="421" ht="20.25" customHeight="1">
      <c r="A421" s="20"/>
      <c r="B421" s="20"/>
      <c r="C421" s="20"/>
      <c r="D421" s="20"/>
      <c r="E421" s="20"/>
      <c r="F421" s="20"/>
      <c r="G421" s="20"/>
      <c r="H421" s="20"/>
      <c r="I421" s="21"/>
      <c r="J421" s="97"/>
    </row>
    <row r="422" ht="20.25" customHeight="1">
      <c r="A422" s="20"/>
      <c r="B422" s="20"/>
      <c r="C422" s="20"/>
      <c r="D422" s="20"/>
      <c r="E422" s="20"/>
      <c r="F422" s="20"/>
      <c r="G422" s="20"/>
      <c r="H422" s="20"/>
      <c r="I422" s="21"/>
    </row>
    <row r="423" ht="20.25" customHeight="1">
      <c r="A423" s="20"/>
      <c r="B423" s="20"/>
      <c r="C423" s="20"/>
      <c r="D423" s="20"/>
      <c r="E423" s="20"/>
      <c r="F423" s="20"/>
      <c r="G423" s="20"/>
      <c r="H423" s="20"/>
      <c r="I423" s="21"/>
    </row>
    <row r="424" ht="20.25" customHeight="1">
      <c r="A424" s="20"/>
      <c r="B424" s="20"/>
      <c r="C424" s="20"/>
      <c r="D424" s="20"/>
      <c r="E424" s="20"/>
      <c r="F424" s="20"/>
      <c r="G424" s="20"/>
      <c r="H424" s="20"/>
      <c r="I424" s="21"/>
      <c r="J424" s="97"/>
    </row>
    <row r="425" ht="20.25" customHeight="1">
      <c r="A425" s="20"/>
      <c r="B425" s="20"/>
      <c r="C425" s="20"/>
      <c r="D425" s="20"/>
      <c r="E425" s="20"/>
      <c r="F425" s="20"/>
      <c r="G425" s="20"/>
      <c r="H425" s="20"/>
      <c r="I425" s="21"/>
    </row>
    <row r="426" ht="20.25" customHeight="1">
      <c r="A426" s="20"/>
      <c r="B426" s="20"/>
      <c r="C426" s="20"/>
      <c r="D426" s="20"/>
      <c r="E426" s="20"/>
      <c r="F426" s="20"/>
      <c r="G426" s="20"/>
      <c r="H426" s="20"/>
      <c r="I426" s="21"/>
    </row>
    <row r="427" ht="20.25" customHeight="1">
      <c r="A427" s="20"/>
      <c r="B427" s="20"/>
      <c r="C427" s="20"/>
      <c r="D427" s="20"/>
      <c r="E427" s="20"/>
      <c r="F427" s="20"/>
      <c r="G427" s="20"/>
      <c r="H427" s="20"/>
      <c r="I427" s="21"/>
      <c r="J427" s="97"/>
    </row>
    <row r="428" ht="20.25" customHeight="1">
      <c r="A428" s="20"/>
      <c r="B428" s="20"/>
      <c r="C428" s="20"/>
      <c r="D428" s="20"/>
      <c r="E428" s="20"/>
      <c r="F428" s="20"/>
      <c r="G428" s="20"/>
      <c r="H428" s="20"/>
      <c r="I428" s="21"/>
    </row>
    <row r="429" ht="20.25" customHeight="1">
      <c r="A429" s="20"/>
      <c r="B429" s="20"/>
      <c r="C429" s="20"/>
      <c r="D429" s="20"/>
      <c r="E429" s="20"/>
      <c r="F429" s="20"/>
      <c r="G429" s="20"/>
      <c r="H429" s="20"/>
      <c r="I429" s="21"/>
      <c r="J429" s="97"/>
    </row>
    <row r="430" ht="20.25" customHeight="1">
      <c r="A430" s="20"/>
      <c r="B430" s="20"/>
      <c r="C430" s="20"/>
      <c r="D430" s="20"/>
      <c r="E430" s="20"/>
      <c r="F430" s="20"/>
      <c r="G430" s="20"/>
      <c r="H430" s="20"/>
      <c r="I430" s="21"/>
      <c r="J430" s="97"/>
    </row>
    <row r="431" ht="20.25" customHeight="1">
      <c r="A431" s="20"/>
      <c r="B431" s="20"/>
      <c r="C431" s="20"/>
      <c r="D431" s="20"/>
      <c r="E431" s="20"/>
      <c r="F431" s="20"/>
      <c r="G431" s="20"/>
      <c r="H431" s="20"/>
      <c r="I431" s="21"/>
      <c r="J431" s="97"/>
    </row>
    <row r="432" ht="20.25" customHeight="1">
      <c r="A432" s="20"/>
      <c r="B432" s="20"/>
      <c r="C432" s="20"/>
      <c r="D432" s="20"/>
      <c r="E432" s="20"/>
      <c r="F432" s="20"/>
      <c r="G432" s="20"/>
      <c r="H432" s="20"/>
      <c r="I432" s="21"/>
      <c r="J432" s="97"/>
    </row>
    <row r="433" ht="20.25" customHeight="1">
      <c r="A433" s="20"/>
      <c r="B433" s="20"/>
      <c r="C433" s="20"/>
      <c r="D433" s="20"/>
      <c r="E433" s="20"/>
      <c r="F433" s="20"/>
      <c r="G433" s="20"/>
      <c r="H433" s="20"/>
      <c r="I433" s="21"/>
    </row>
    <row r="434" ht="20.25" customHeight="1">
      <c r="A434" s="20"/>
      <c r="B434" s="20"/>
      <c r="C434" s="20"/>
      <c r="D434" s="20"/>
      <c r="E434" s="20"/>
      <c r="F434" s="20"/>
      <c r="G434" s="20"/>
      <c r="H434" s="20"/>
      <c r="I434" s="21"/>
      <c r="J434" s="97"/>
    </row>
    <row r="435" ht="20.25" customHeight="1">
      <c r="A435" s="20"/>
      <c r="B435" s="20"/>
      <c r="C435" s="20"/>
      <c r="D435" s="20"/>
      <c r="E435" s="20"/>
      <c r="F435" s="20"/>
      <c r="G435" s="20"/>
      <c r="H435" s="20"/>
      <c r="I435" s="21"/>
    </row>
    <row r="436" ht="20.25" customHeight="1">
      <c r="A436" s="20"/>
      <c r="B436" s="20"/>
      <c r="C436" s="20"/>
      <c r="D436" s="20"/>
      <c r="E436" s="20"/>
      <c r="F436" s="20"/>
      <c r="G436" s="20"/>
      <c r="H436" s="20"/>
      <c r="I436" s="21"/>
      <c r="J436" s="97"/>
    </row>
    <row r="437" ht="20.25" customHeight="1">
      <c r="A437" s="20"/>
      <c r="B437" s="20"/>
      <c r="C437" s="20"/>
      <c r="D437" s="20"/>
      <c r="E437" s="20"/>
      <c r="F437" s="20"/>
      <c r="G437" s="20"/>
      <c r="H437" s="20"/>
      <c r="I437" s="21"/>
    </row>
    <row r="438" ht="20.25" customHeight="1">
      <c r="A438" s="20"/>
      <c r="B438" s="20"/>
      <c r="C438" s="20"/>
      <c r="D438" s="20"/>
      <c r="E438" s="20"/>
      <c r="F438" s="20"/>
      <c r="G438" s="20"/>
      <c r="H438" s="20"/>
      <c r="I438" s="21"/>
      <c r="J438" s="97"/>
    </row>
    <row r="439" ht="20.25" customHeight="1">
      <c r="A439" s="20"/>
      <c r="B439" s="20"/>
      <c r="C439" s="20"/>
      <c r="D439" s="20"/>
      <c r="E439" s="20"/>
      <c r="F439" s="20"/>
      <c r="G439" s="20"/>
      <c r="H439" s="20"/>
      <c r="I439" s="21"/>
      <c r="J439" s="97"/>
    </row>
    <row r="440" ht="20.25" customHeight="1">
      <c r="A440" s="20"/>
      <c r="B440" s="20"/>
      <c r="C440" s="20"/>
      <c r="D440" s="20"/>
      <c r="E440" s="20"/>
      <c r="F440" s="20"/>
      <c r="G440" s="20"/>
      <c r="H440" s="20"/>
      <c r="I440" s="21"/>
      <c r="J440" s="97"/>
    </row>
    <row r="441" ht="20.25" customHeight="1">
      <c r="A441" s="20"/>
      <c r="B441" s="20"/>
      <c r="C441" s="20"/>
      <c r="D441" s="20"/>
      <c r="E441" s="20"/>
      <c r="F441" s="20"/>
      <c r="G441" s="20"/>
      <c r="H441" s="20"/>
      <c r="I441" s="21"/>
    </row>
    <row r="442" ht="20.25" customHeight="1">
      <c r="A442" s="20"/>
      <c r="B442" s="20"/>
      <c r="C442" s="20"/>
      <c r="D442" s="20"/>
      <c r="E442" s="20"/>
      <c r="F442" s="20"/>
      <c r="G442" s="20"/>
      <c r="H442" s="20"/>
      <c r="I442" s="21"/>
    </row>
    <row r="443" ht="20.25" customHeight="1">
      <c r="A443" s="20"/>
      <c r="B443" s="20"/>
      <c r="C443" s="20"/>
      <c r="D443" s="20"/>
      <c r="E443" s="20"/>
      <c r="F443" s="20"/>
      <c r="G443" s="20"/>
      <c r="H443" s="20"/>
      <c r="I443" s="21"/>
    </row>
    <row r="444" ht="20.25" customHeight="1">
      <c r="A444" s="20"/>
      <c r="B444" s="20"/>
      <c r="C444" s="20"/>
      <c r="D444" s="20"/>
      <c r="E444" s="20"/>
      <c r="F444" s="20"/>
      <c r="G444" s="20"/>
      <c r="H444" s="20"/>
      <c r="I444" s="21"/>
    </row>
    <row r="445" ht="20.25" customHeight="1">
      <c r="A445" s="20"/>
      <c r="B445" s="20"/>
      <c r="C445" s="20"/>
      <c r="D445" s="20"/>
      <c r="E445" s="20"/>
      <c r="F445" s="20"/>
      <c r="G445" s="20"/>
      <c r="H445" s="20"/>
      <c r="I445" s="21"/>
    </row>
    <row r="446" ht="20.25" customHeight="1">
      <c r="A446" s="20"/>
      <c r="B446" s="20"/>
      <c r="C446" s="20"/>
      <c r="D446" s="20"/>
      <c r="E446" s="20"/>
      <c r="F446" s="20"/>
      <c r="G446" s="20"/>
      <c r="H446" s="20"/>
      <c r="I446" s="21"/>
    </row>
    <row r="447" ht="20.25" customHeight="1">
      <c r="A447" s="20"/>
      <c r="B447" s="20"/>
      <c r="C447" s="20"/>
      <c r="D447" s="20"/>
      <c r="E447" s="20"/>
      <c r="F447" s="20"/>
      <c r="G447" s="20"/>
      <c r="H447" s="20"/>
      <c r="I447" s="21"/>
    </row>
    <row r="448" ht="20.25" customHeight="1">
      <c r="A448" s="20"/>
      <c r="B448" s="20"/>
      <c r="C448" s="20"/>
      <c r="D448" s="20"/>
      <c r="E448" s="20"/>
      <c r="F448" s="20"/>
      <c r="G448" s="20"/>
      <c r="H448" s="20"/>
      <c r="I448" s="21"/>
    </row>
    <row r="449" ht="20.25" customHeight="1">
      <c r="A449" s="20"/>
      <c r="B449" s="20"/>
      <c r="C449" s="20"/>
      <c r="D449" s="20"/>
      <c r="E449" s="20"/>
      <c r="F449" s="20"/>
      <c r="G449" s="20"/>
      <c r="H449" s="20"/>
      <c r="I449" s="21"/>
    </row>
    <row r="450" ht="20.25" customHeight="1">
      <c r="A450" s="20"/>
      <c r="B450" s="20"/>
      <c r="C450" s="20"/>
      <c r="D450" s="20"/>
      <c r="E450" s="20"/>
      <c r="F450" s="20"/>
      <c r="G450" s="20"/>
      <c r="H450" s="20"/>
      <c r="I450" s="21"/>
    </row>
    <row r="451" ht="20.25" customHeight="1">
      <c r="A451" s="20"/>
      <c r="B451" s="20"/>
      <c r="C451" s="20"/>
      <c r="D451" s="20"/>
      <c r="E451" s="20"/>
      <c r="F451" s="20"/>
      <c r="G451" s="20"/>
      <c r="H451" s="20"/>
      <c r="I451" s="21"/>
    </row>
    <row r="452" ht="20.25" customHeight="1">
      <c r="A452" s="20"/>
      <c r="B452" s="20"/>
      <c r="C452" s="20"/>
      <c r="D452" s="20"/>
      <c r="E452" s="20"/>
      <c r="F452" s="20"/>
      <c r="G452" s="20"/>
      <c r="H452" s="20"/>
      <c r="I452" s="21"/>
    </row>
    <row r="453" ht="20.25" customHeight="1">
      <c r="A453" s="20"/>
      <c r="B453" s="20"/>
      <c r="C453" s="20"/>
      <c r="D453" s="20"/>
      <c r="E453" s="20"/>
      <c r="F453" s="20"/>
      <c r="G453" s="20"/>
      <c r="H453" s="20"/>
      <c r="I453" s="21"/>
    </row>
    <row r="454" ht="20.25" customHeight="1">
      <c r="A454" s="20"/>
      <c r="B454" s="20"/>
      <c r="C454" s="20"/>
      <c r="D454" s="20"/>
      <c r="E454" s="20"/>
      <c r="F454" s="20"/>
      <c r="G454" s="20"/>
      <c r="H454" s="20"/>
      <c r="I454" s="21"/>
    </row>
    <row r="455" ht="20.25" customHeight="1">
      <c r="A455" s="20"/>
      <c r="B455" s="20"/>
      <c r="C455" s="20"/>
      <c r="D455" s="20"/>
      <c r="E455" s="20"/>
      <c r="F455" s="20"/>
      <c r="G455" s="20"/>
      <c r="H455" s="20"/>
      <c r="I455" s="21"/>
    </row>
    <row r="456" ht="20.25" customHeight="1">
      <c r="A456" s="20"/>
      <c r="B456" s="20"/>
      <c r="C456" s="20"/>
      <c r="D456" s="20"/>
      <c r="E456" s="20"/>
      <c r="F456" s="20"/>
      <c r="G456" s="20"/>
      <c r="H456" s="20"/>
      <c r="I456" s="21"/>
      <c r="J456" s="97"/>
    </row>
    <row r="457" ht="20.25" customHeight="1">
      <c r="A457" s="20"/>
      <c r="B457" s="20"/>
      <c r="C457" s="20"/>
      <c r="D457" s="20"/>
      <c r="E457" s="20"/>
      <c r="F457" s="20"/>
      <c r="G457" s="20"/>
      <c r="H457" s="20"/>
      <c r="I457" s="21"/>
      <c r="J457" s="97"/>
    </row>
    <row r="458" ht="20.25" customHeight="1">
      <c r="A458" s="20"/>
      <c r="B458" s="20"/>
      <c r="C458" s="20"/>
      <c r="D458" s="20"/>
      <c r="E458" s="20"/>
      <c r="F458" s="20"/>
      <c r="G458" s="20"/>
      <c r="H458" s="20"/>
      <c r="I458" s="21"/>
      <c r="J458" s="97"/>
    </row>
    <row r="459" ht="20.25" customHeight="1">
      <c r="A459" s="20"/>
      <c r="B459" s="20"/>
      <c r="C459" s="20"/>
      <c r="D459" s="20"/>
      <c r="E459" s="20"/>
      <c r="F459" s="20"/>
      <c r="G459" s="20"/>
      <c r="H459" s="20"/>
      <c r="I459" s="21"/>
    </row>
    <row r="460" ht="20.25" customHeight="1">
      <c r="A460" s="20"/>
      <c r="B460" s="20"/>
      <c r="C460" s="20"/>
      <c r="D460" s="20"/>
      <c r="E460" s="20"/>
      <c r="F460" s="20"/>
      <c r="G460" s="20"/>
      <c r="H460" s="20"/>
      <c r="I460" s="21"/>
    </row>
    <row r="461" ht="20.25" customHeight="1">
      <c r="A461" s="20"/>
      <c r="B461" s="20"/>
      <c r="C461" s="20"/>
      <c r="D461" s="20"/>
      <c r="E461" s="20"/>
      <c r="F461" s="20"/>
      <c r="G461" s="20"/>
      <c r="H461" s="20"/>
      <c r="I461" s="21"/>
    </row>
    <row r="462" ht="20.25" customHeight="1">
      <c r="A462" s="20"/>
      <c r="B462" s="20"/>
      <c r="C462" s="20"/>
      <c r="D462" s="20"/>
      <c r="E462" s="20"/>
      <c r="F462" s="20"/>
      <c r="G462" s="20"/>
      <c r="H462" s="20"/>
      <c r="I462" s="21"/>
      <c r="J462" s="97"/>
    </row>
    <row r="463" ht="20.25" customHeight="1">
      <c r="A463" s="20"/>
      <c r="B463" s="20"/>
      <c r="C463" s="20"/>
      <c r="D463" s="20"/>
      <c r="E463" s="20"/>
      <c r="F463" s="20"/>
      <c r="G463" s="20"/>
      <c r="H463" s="20"/>
      <c r="I463" s="21"/>
      <c r="J463" s="97"/>
    </row>
    <row r="464" ht="20.25" customHeight="1">
      <c r="A464" s="20"/>
      <c r="B464" s="20"/>
      <c r="C464" s="20"/>
      <c r="D464" s="20"/>
      <c r="E464" s="20"/>
      <c r="F464" s="20"/>
      <c r="G464" s="20"/>
      <c r="H464" s="20"/>
      <c r="I464" s="21"/>
      <c r="J464" s="97"/>
    </row>
    <row r="465" ht="20.25" customHeight="1">
      <c r="A465" s="20"/>
      <c r="B465" s="20"/>
      <c r="C465" s="20"/>
      <c r="D465" s="20"/>
      <c r="E465" s="20"/>
      <c r="F465" s="20"/>
      <c r="G465" s="20"/>
      <c r="H465" s="20"/>
      <c r="I465" s="21"/>
    </row>
    <row r="466" ht="20.25" customHeight="1">
      <c r="A466" s="20"/>
      <c r="B466" s="20"/>
      <c r="C466" s="20"/>
      <c r="D466" s="20"/>
      <c r="E466" s="20"/>
      <c r="F466" s="20"/>
      <c r="G466" s="20"/>
      <c r="H466" s="20"/>
      <c r="I466" s="21"/>
    </row>
    <row r="467" ht="20.25" customHeight="1">
      <c r="A467" s="20"/>
      <c r="B467" s="20"/>
      <c r="C467" s="20"/>
      <c r="D467" s="20"/>
      <c r="E467" s="20"/>
      <c r="F467" s="20"/>
      <c r="G467" s="20"/>
      <c r="H467" s="20"/>
      <c r="I467" s="21"/>
    </row>
    <row r="468" ht="20.25" customHeight="1">
      <c r="A468" s="20"/>
      <c r="B468" s="20"/>
      <c r="C468" s="20"/>
      <c r="D468" s="20"/>
      <c r="E468" s="20"/>
      <c r="F468" s="20"/>
      <c r="G468" s="20"/>
      <c r="H468" s="20"/>
      <c r="I468" s="21"/>
    </row>
    <row r="469" ht="20.25" customHeight="1">
      <c r="A469" s="20"/>
      <c r="B469" s="20"/>
      <c r="C469" s="20"/>
      <c r="D469" s="20"/>
      <c r="E469" s="20"/>
      <c r="F469" s="20"/>
      <c r="G469" s="20"/>
      <c r="H469" s="20"/>
      <c r="I469" s="21"/>
    </row>
    <row r="470" ht="20.25" customHeight="1">
      <c r="A470" s="20"/>
      <c r="B470" s="20"/>
      <c r="C470" s="20"/>
      <c r="D470" s="20"/>
      <c r="E470" s="20"/>
      <c r="F470" s="20"/>
      <c r="G470" s="20"/>
      <c r="H470" s="20"/>
      <c r="I470" s="21"/>
    </row>
    <row r="471" ht="20.25" customHeight="1">
      <c r="A471" s="20"/>
      <c r="B471" s="20"/>
      <c r="C471" s="20"/>
      <c r="D471" s="20"/>
      <c r="E471" s="20"/>
      <c r="F471" s="20"/>
      <c r="G471" s="20"/>
      <c r="H471" s="20"/>
      <c r="I471" s="21"/>
    </row>
    <row r="472" ht="20.25" customHeight="1">
      <c r="A472" s="20"/>
      <c r="B472" s="20"/>
      <c r="C472" s="20"/>
      <c r="D472" s="20"/>
      <c r="E472" s="20"/>
      <c r="F472" s="20"/>
      <c r="G472" s="20"/>
      <c r="H472" s="20"/>
      <c r="I472" s="21"/>
    </row>
    <row r="473" ht="20.25" customHeight="1">
      <c r="A473" s="20"/>
      <c r="B473" s="20"/>
      <c r="C473" s="20"/>
      <c r="D473" s="20"/>
      <c r="E473" s="20"/>
      <c r="F473" s="20"/>
      <c r="G473" s="20"/>
      <c r="H473" s="20"/>
      <c r="I473" s="21"/>
    </row>
    <row r="474" ht="20.25" customHeight="1">
      <c r="A474" s="20"/>
      <c r="B474" s="20"/>
      <c r="C474" s="20"/>
      <c r="D474" s="20"/>
      <c r="E474" s="20"/>
      <c r="F474" s="20"/>
      <c r="G474" s="20"/>
      <c r="H474" s="20"/>
      <c r="I474" s="21"/>
    </row>
    <row r="475" ht="20.25" customHeight="1">
      <c r="A475" s="20"/>
      <c r="B475" s="20"/>
      <c r="C475" s="20"/>
      <c r="D475" s="20"/>
      <c r="E475" s="20"/>
      <c r="F475" s="20"/>
      <c r="G475" s="20"/>
      <c r="H475" s="20"/>
      <c r="I475" s="21"/>
    </row>
    <row r="476" ht="20.25" customHeight="1">
      <c r="A476" s="20"/>
      <c r="B476" s="20"/>
      <c r="C476" s="20"/>
      <c r="D476" s="20"/>
      <c r="E476" s="20"/>
      <c r="F476" s="20"/>
      <c r="G476" s="20"/>
      <c r="H476" s="20"/>
      <c r="I476" s="21"/>
    </row>
    <row r="477" ht="20.25" customHeight="1">
      <c r="A477" s="20"/>
      <c r="B477" s="20"/>
      <c r="C477" s="20"/>
      <c r="D477" s="20"/>
      <c r="E477" s="20"/>
      <c r="F477" s="20"/>
      <c r="G477" s="20"/>
      <c r="H477" s="20"/>
      <c r="I477" s="21"/>
    </row>
    <row r="478" ht="20.25" customHeight="1">
      <c r="A478" s="20"/>
      <c r="B478" s="20"/>
      <c r="C478" s="20"/>
      <c r="D478" s="20"/>
      <c r="E478" s="20"/>
      <c r="F478" s="20"/>
      <c r="G478" s="20"/>
      <c r="H478" s="20"/>
      <c r="I478" s="21"/>
    </row>
    <row r="479" ht="20.25" customHeight="1">
      <c r="A479" s="20"/>
      <c r="B479" s="20"/>
      <c r="C479" s="20"/>
      <c r="D479" s="20"/>
      <c r="E479" s="20"/>
      <c r="F479" s="20"/>
      <c r="G479" s="20"/>
      <c r="H479" s="20"/>
      <c r="I479" s="21"/>
    </row>
    <row r="480" ht="20.25" customHeight="1">
      <c r="A480" s="20"/>
      <c r="B480" s="20"/>
      <c r="C480" s="20"/>
      <c r="D480" s="20"/>
      <c r="E480" s="20"/>
      <c r="F480" s="20"/>
      <c r="G480" s="20"/>
      <c r="H480" s="20"/>
      <c r="I480" s="21"/>
    </row>
    <row r="481" ht="20.25" customHeight="1">
      <c r="A481" s="20"/>
      <c r="B481" s="20"/>
      <c r="C481" s="20"/>
      <c r="D481" s="20"/>
      <c r="E481" s="20"/>
      <c r="F481" s="20"/>
      <c r="G481" s="20"/>
      <c r="H481" s="20"/>
      <c r="I481" s="21"/>
      <c r="J481" s="97"/>
    </row>
    <row r="482" ht="20.25" customHeight="1">
      <c r="A482" s="20"/>
      <c r="B482" s="20"/>
      <c r="C482" s="20"/>
      <c r="D482" s="20"/>
      <c r="E482" s="20"/>
      <c r="F482" s="20"/>
      <c r="G482" s="20"/>
      <c r="H482" s="20"/>
      <c r="I482" s="21"/>
      <c r="J482" s="97"/>
    </row>
    <row r="483" ht="20.25" customHeight="1">
      <c r="A483" s="20"/>
      <c r="B483" s="20"/>
      <c r="C483" s="20"/>
      <c r="D483" s="20"/>
      <c r="E483" s="20"/>
      <c r="F483" s="20"/>
      <c r="G483" s="20"/>
      <c r="H483" s="20"/>
      <c r="I483" s="21"/>
      <c r="J483" s="97"/>
    </row>
    <row r="484" ht="20.25" customHeight="1">
      <c r="A484" s="20"/>
      <c r="B484" s="20"/>
      <c r="C484" s="20"/>
      <c r="D484" s="20"/>
      <c r="E484" s="20"/>
      <c r="F484" s="20"/>
      <c r="G484" s="20"/>
      <c r="H484" s="20"/>
      <c r="I484" s="21"/>
      <c r="J484" s="97"/>
    </row>
    <row r="485" ht="20.25" customHeight="1">
      <c r="A485" s="20"/>
      <c r="B485" s="20"/>
      <c r="C485" s="20"/>
      <c r="D485" s="20"/>
      <c r="E485" s="20"/>
      <c r="F485" s="20"/>
      <c r="G485" s="20"/>
      <c r="H485" s="20"/>
      <c r="I485" s="21"/>
      <c r="J485" s="97"/>
    </row>
    <row r="486" ht="20.25" customHeight="1">
      <c r="A486" s="20"/>
      <c r="B486" s="20"/>
      <c r="C486" s="20"/>
      <c r="D486" s="20"/>
      <c r="E486" s="20"/>
      <c r="F486" s="20"/>
      <c r="G486" s="20"/>
      <c r="H486" s="20"/>
      <c r="I486" s="21"/>
      <c r="J486" s="97"/>
    </row>
    <row r="487" ht="20.25" customHeight="1">
      <c r="A487" s="20"/>
      <c r="B487" s="20"/>
      <c r="C487" s="20"/>
      <c r="D487" s="20"/>
      <c r="E487" s="20"/>
      <c r="F487" s="20"/>
      <c r="G487" s="20"/>
      <c r="H487" s="20"/>
      <c r="I487" s="21"/>
      <c r="J487" s="97"/>
    </row>
    <row r="488" ht="20.25" customHeight="1">
      <c r="A488" s="20"/>
      <c r="B488" s="20"/>
      <c r="C488" s="20"/>
      <c r="D488" s="20"/>
      <c r="E488" s="20"/>
      <c r="F488" s="20"/>
      <c r="G488" s="20"/>
      <c r="H488" s="20"/>
      <c r="I488" s="21"/>
      <c r="J488" s="97"/>
    </row>
    <row r="489" ht="20.25" customHeight="1">
      <c r="A489" s="20"/>
      <c r="B489" s="20"/>
      <c r="C489" s="20"/>
      <c r="D489" s="20"/>
      <c r="E489" s="20"/>
      <c r="F489" s="20"/>
      <c r="G489" s="20"/>
      <c r="H489" s="20"/>
      <c r="I489" s="21"/>
      <c r="J489" s="97"/>
    </row>
    <row r="490" ht="20.25" customHeight="1">
      <c r="A490" s="20"/>
      <c r="B490" s="20"/>
      <c r="C490" s="20"/>
      <c r="D490" s="20"/>
      <c r="E490" s="20"/>
      <c r="F490" s="20"/>
      <c r="G490" s="20"/>
      <c r="H490" s="20"/>
      <c r="I490" s="21"/>
    </row>
    <row r="491" ht="20.25" customHeight="1">
      <c r="A491" s="20"/>
      <c r="B491" s="20"/>
      <c r="C491" s="20"/>
      <c r="D491" s="20"/>
      <c r="E491" s="20"/>
      <c r="F491" s="20"/>
      <c r="G491" s="20"/>
      <c r="H491" s="20"/>
      <c r="I491" s="21"/>
      <c r="J491" s="97"/>
    </row>
    <row r="492" ht="20.25" customHeight="1">
      <c r="A492" s="20"/>
      <c r="B492" s="20"/>
      <c r="C492" s="20"/>
      <c r="D492" s="20"/>
      <c r="E492" s="20"/>
      <c r="F492" s="20"/>
      <c r="G492" s="20"/>
      <c r="H492" s="20"/>
      <c r="I492" s="21"/>
    </row>
    <row r="493" ht="20.25" customHeight="1">
      <c r="A493" s="20"/>
      <c r="B493" s="20"/>
      <c r="C493" s="20"/>
      <c r="D493" s="20"/>
      <c r="E493" s="20"/>
      <c r="F493" s="20"/>
      <c r="G493" s="20"/>
      <c r="H493" s="20"/>
      <c r="I493" s="21"/>
      <c r="J493" s="97"/>
    </row>
    <row r="494" ht="20.25" customHeight="1">
      <c r="A494" s="20"/>
      <c r="B494" s="20"/>
      <c r="C494" s="20"/>
      <c r="D494" s="20"/>
      <c r="E494" s="20"/>
      <c r="F494" s="20"/>
      <c r="G494" s="20"/>
      <c r="H494" s="20"/>
      <c r="I494" s="21"/>
    </row>
    <row r="495" ht="20.25" customHeight="1">
      <c r="A495" s="20"/>
      <c r="B495" s="20"/>
      <c r="C495" s="20"/>
      <c r="D495" s="20"/>
      <c r="E495" s="20"/>
      <c r="F495" s="20"/>
      <c r="G495" s="20"/>
      <c r="H495" s="20"/>
      <c r="I495" s="21"/>
      <c r="J495" s="97"/>
    </row>
    <row r="496" ht="20.25" customHeight="1">
      <c r="A496" s="20"/>
      <c r="B496" s="20"/>
      <c r="C496" s="20"/>
      <c r="D496" s="20"/>
      <c r="E496" s="20"/>
      <c r="F496" s="20"/>
      <c r="G496" s="20"/>
      <c r="H496" s="20"/>
      <c r="I496" s="21"/>
    </row>
    <row r="497" ht="20.25" customHeight="1">
      <c r="A497" s="20"/>
      <c r="B497" s="20"/>
      <c r="C497" s="20"/>
      <c r="D497" s="20"/>
      <c r="E497" s="20"/>
      <c r="F497" s="20"/>
      <c r="G497" s="20"/>
      <c r="H497" s="20"/>
      <c r="I497" s="21"/>
    </row>
    <row r="498" ht="20.25" customHeight="1">
      <c r="A498" s="20"/>
      <c r="B498" s="20"/>
      <c r="C498" s="20"/>
      <c r="D498" s="20"/>
      <c r="E498" s="20"/>
      <c r="F498" s="20"/>
      <c r="G498" s="20"/>
      <c r="H498" s="20"/>
      <c r="I498" s="21"/>
    </row>
    <row r="499" ht="20.25" customHeight="1">
      <c r="A499" s="20"/>
      <c r="B499" s="20"/>
      <c r="C499" s="20"/>
      <c r="D499" s="20"/>
      <c r="E499" s="20"/>
      <c r="F499" s="20"/>
      <c r="G499" s="20"/>
      <c r="H499" s="20"/>
      <c r="I499" s="21"/>
    </row>
    <row r="500" ht="20.25" customHeight="1">
      <c r="A500" s="20"/>
      <c r="B500" s="20"/>
      <c r="C500" s="20"/>
      <c r="D500" s="20"/>
      <c r="E500" s="20"/>
      <c r="F500" s="20"/>
      <c r="G500" s="20"/>
      <c r="H500" s="20"/>
      <c r="I500" s="21"/>
    </row>
    <row r="501" ht="20.25" customHeight="1">
      <c r="A501" s="20"/>
      <c r="B501" s="20"/>
      <c r="C501" s="20"/>
      <c r="D501" s="20"/>
      <c r="E501" s="20"/>
      <c r="F501" s="20"/>
      <c r="G501" s="20"/>
      <c r="H501" s="20"/>
      <c r="I501" s="21"/>
    </row>
    <row r="502" ht="20.25" customHeight="1">
      <c r="A502" s="20"/>
      <c r="B502" s="20"/>
      <c r="C502" s="20"/>
      <c r="D502" s="20"/>
      <c r="E502" s="20"/>
      <c r="F502" s="20"/>
      <c r="G502" s="20"/>
      <c r="H502" s="20"/>
      <c r="I502" s="21"/>
    </row>
    <row r="503" ht="20.25" customHeight="1">
      <c r="A503" s="20"/>
      <c r="B503" s="20"/>
      <c r="C503" s="20"/>
      <c r="D503" s="20"/>
      <c r="E503" s="20"/>
      <c r="F503" s="20"/>
      <c r="G503" s="20"/>
      <c r="H503" s="20"/>
      <c r="I503" s="21"/>
    </row>
    <row r="504" ht="20.25" customHeight="1">
      <c r="A504" s="20"/>
      <c r="B504" s="20"/>
      <c r="C504" s="20"/>
      <c r="D504" s="20"/>
      <c r="E504" s="20"/>
      <c r="F504" s="20"/>
      <c r="G504" s="20"/>
      <c r="H504" s="20"/>
      <c r="I504" s="21"/>
    </row>
    <row r="505" ht="20.25" customHeight="1">
      <c r="A505" s="20"/>
      <c r="B505" s="20"/>
      <c r="C505" s="20"/>
      <c r="D505" s="20"/>
      <c r="E505" s="20"/>
      <c r="F505" s="20"/>
      <c r="G505" s="20"/>
      <c r="H505" s="20"/>
      <c r="I505" s="21"/>
    </row>
    <row r="506" ht="20.25" customHeight="1">
      <c r="A506" s="20"/>
      <c r="B506" s="20"/>
      <c r="C506" s="20"/>
      <c r="D506" s="20"/>
      <c r="E506" s="20"/>
      <c r="F506" s="20"/>
      <c r="G506" s="20"/>
      <c r="H506" s="20"/>
      <c r="I506" s="21"/>
    </row>
    <row r="507" ht="20.25" customHeight="1">
      <c r="A507" s="20"/>
      <c r="B507" s="20"/>
      <c r="C507" s="20"/>
      <c r="D507" s="20"/>
      <c r="E507" s="20"/>
      <c r="F507" s="20"/>
      <c r="G507" s="20"/>
      <c r="H507" s="20"/>
      <c r="I507" s="21"/>
      <c r="J507" s="97"/>
    </row>
    <row r="508" ht="20.25" customHeight="1">
      <c r="A508" s="20"/>
      <c r="B508" s="20"/>
      <c r="C508" s="20"/>
      <c r="D508" s="20"/>
      <c r="E508" s="20"/>
      <c r="F508" s="20"/>
      <c r="G508" s="20"/>
      <c r="H508" s="20"/>
      <c r="I508" s="21"/>
    </row>
    <row r="509" ht="20.25" customHeight="1">
      <c r="A509" s="20"/>
      <c r="B509" s="20"/>
      <c r="C509" s="20"/>
      <c r="D509" s="20"/>
      <c r="E509" s="20"/>
      <c r="F509" s="20"/>
      <c r="G509" s="20"/>
      <c r="H509" s="20"/>
      <c r="I509" s="21"/>
    </row>
    <row r="510" ht="20.25" customHeight="1">
      <c r="A510" s="20"/>
      <c r="B510" s="20"/>
      <c r="C510" s="20"/>
      <c r="D510" s="20"/>
      <c r="E510" s="20"/>
      <c r="F510" s="20"/>
      <c r="G510" s="20"/>
      <c r="H510" s="20"/>
      <c r="I510" s="21"/>
      <c r="J510" s="97"/>
    </row>
    <row r="511" ht="20.25" customHeight="1">
      <c r="A511" s="20"/>
      <c r="B511" s="20"/>
      <c r="C511" s="20"/>
      <c r="D511" s="20"/>
      <c r="E511" s="20"/>
      <c r="F511" s="20"/>
      <c r="G511" s="20"/>
      <c r="H511" s="20"/>
      <c r="I511" s="21"/>
    </row>
    <row r="512" ht="20.25" customHeight="1">
      <c r="A512" s="20"/>
      <c r="B512" s="20"/>
      <c r="C512" s="20"/>
      <c r="D512" s="20"/>
      <c r="E512" s="20"/>
      <c r="F512" s="20"/>
      <c r="G512" s="20"/>
      <c r="H512" s="20"/>
      <c r="I512" s="21"/>
    </row>
    <row r="513" ht="20.25" customHeight="1">
      <c r="A513" s="20"/>
      <c r="B513" s="20"/>
      <c r="C513" s="20"/>
      <c r="D513" s="20"/>
      <c r="E513" s="20"/>
      <c r="F513" s="20"/>
      <c r="G513" s="20"/>
      <c r="H513" s="20"/>
      <c r="I513" s="21"/>
      <c r="J513" s="97"/>
    </row>
    <row r="514" ht="20.25" customHeight="1">
      <c r="A514" s="44"/>
      <c r="B514" s="44"/>
      <c r="C514" s="44"/>
      <c r="D514" s="44"/>
      <c r="E514" s="44"/>
      <c r="F514" s="44"/>
      <c r="G514" s="44"/>
      <c r="H514" s="44"/>
      <c r="I514" s="76"/>
      <c r="J514" s="97"/>
    </row>
    <row r="515" ht="20.25" customHeight="1">
      <c r="A515" s="44"/>
      <c r="B515" s="44"/>
      <c r="C515" s="44"/>
      <c r="D515" s="44"/>
      <c r="E515" s="44"/>
      <c r="F515" s="44"/>
      <c r="G515" s="44"/>
      <c r="H515" s="44"/>
      <c r="I515" s="76"/>
    </row>
    <row r="516" ht="20.25" customHeight="1">
      <c r="A516" s="44"/>
      <c r="B516" s="44"/>
      <c r="C516" s="44"/>
      <c r="D516" s="44"/>
      <c r="E516" s="44"/>
      <c r="F516" s="44"/>
      <c r="G516" s="44"/>
      <c r="H516" s="44"/>
      <c r="I516" s="76"/>
    </row>
    <row r="517" ht="20.25" customHeight="1">
      <c r="A517" s="44"/>
      <c r="B517" s="44"/>
      <c r="C517" s="44"/>
      <c r="D517" s="44"/>
      <c r="E517" s="44"/>
      <c r="F517" s="44"/>
      <c r="G517" s="44"/>
      <c r="H517" s="44"/>
      <c r="I517" s="76"/>
    </row>
    <row r="518" ht="20.25" customHeight="1">
      <c r="A518" s="44"/>
      <c r="B518" s="44"/>
      <c r="C518" s="44"/>
      <c r="D518" s="44"/>
      <c r="E518" s="44"/>
      <c r="F518" s="44"/>
      <c r="G518" s="44"/>
      <c r="H518" s="44"/>
      <c r="I518" s="76"/>
    </row>
    <row r="519" ht="20.25" customHeight="1">
      <c r="A519" s="44"/>
      <c r="B519" s="44"/>
      <c r="C519" s="44"/>
      <c r="D519" s="44"/>
      <c r="E519" s="44"/>
      <c r="F519" s="44"/>
      <c r="G519" s="44"/>
      <c r="H519" s="44"/>
      <c r="I519" s="76"/>
    </row>
    <row r="520" ht="20.25" customHeight="1">
      <c r="A520" s="44"/>
      <c r="B520" s="44"/>
      <c r="C520" s="44"/>
      <c r="D520" s="44"/>
      <c r="E520" s="44"/>
      <c r="F520" s="44"/>
      <c r="G520" s="44"/>
      <c r="H520" s="44"/>
      <c r="I520" s="76"/>
    </row>
    <row r="521" ht="20.25" customHeight="1">
      <c r="A521" s="44"/>
      <c r="B521" s="44"/>
      <c r="C521" s="44"/>
      <c r="D521" s="44"/>
      <c r="E521" s="44"/>
      <c r="F521" s="44"/>
      <c r="G521" s="44"/>
      <c r="H521" s="44"/>
      <c r="I521" s="76"/>
    </row>
    <row r="522" ht="20.25" customHeight="1">
      <c r="A522" s="44"/>
      <c r="B522" s="44"/>
      <c r="C522" s="44"/>
      <c r="D522" s="44"/>
      <c r="E522" s="44"/>
      <c r="F522" s="44"/>
      <c r="G522" s="44"/>
      <c r="H522" s="44"/>
      <c r="I522" s="76"/>
    </row>
    <row r="523" ht="20.25" customHeight="1">
      <c r="A523" s="44"/>
      <c r="B523" s="44"/>
      <c r="C523" s="44"/>
      <c r="D523" s="44"/>
      <c r="E523" s="44"/>
      <c r="F523" s="44"/>
      <c r="G523" s="44"/>
      <c r="H523" s="44"/>
      <c r="I523" s="76"/>
    </row>
    <row r="524" ht="20.25" customHeight="1">
      <c r="A524" s="44"/>
      <c r="B524" s="44"/>
      <c r="C524" s="44"/>
      <c r="D524" s="44"/>
      <c r="E524" s="44"/>
      <c r="F524" s="44"/>
      <c r="G524" s="44"/>
      <c r="H524" s="44"/>
      <c r="I524" s="76"/>
    </row>
    <row r="525" ht="20.25" customHeight="1">
      <c r="A525" s="44"/>
      <c r="B525" s="44"/>
      <c r="C525" s="44"/>
      <c r="D525" s="44"/>
      <c r="E525" s="44"/>
      <c r="F525" s="44"/>
      <c r="G525" s="44"/>
      <c r="H525" s="44"/>
      <c r="I525" s="76"/>
    </row>
    <row r="526" ht="20.25" customHeight="1">
      <c r="A526" s="44"/>
      <c r="B526" s="44"/>
      <c r="C526" s="44"/>
      <c r="D526" s="44"/>
      <c r="E526" s="44"/>
      <c r="F526" s="44"/>
      <c r="G526" s="44"/>
      <c r="H526" s="44"/>
      <c r="I526" s="76"/>
    </row>
    <row r="527" ht="20.25" customHeight="1">
      <c r="A527" s="44"/>
      <c r="B527" s="44"/>
      <c r="C527" s="44"/>
      <c r="D527" s="44"/>
      <c r="E527" s="44"/>
      <c r="F527" s="44"/>
      <c r="G527" s="44"/>
      <c r="H527" s="44"/>
      <c r="I527" s="76"/>
    </row>
    <row r="528" ht="20.25" customHeight="1">
      <c r="A528" s="44"/>
      <c r="B528" s="44"/>
      <c r="C528" s="44"/>
      <c r="D528" s="44"/>
      <c r="E528" s="44"/>
      <c r="F528" s="44"/>
      <c r="G528" s="44"/>
      <c r="H528" s="44"/>
      <c r="I528" s="76"/>
    </row>
    <row r="529" ht="20.25" customHeight="1">
      <c r="A529" s="44"/>
      <c r="B529" s="44"/>
      <c r="C529" s="44"/>
      <c r="D529" s="44"/>
      <c r="E529" s="44"/>
      <c r="F529" s="44"/>
      <c r="G529" s="44"/>
      <c r="H529" s="44"/>
      <c r="I529" s="76"/>
    </row>
    <row r="530" ht="20.25" customHeight="1">
      <c r="A530" s="44"/>
      <c r="B530" s="44"/>
      <c r="C530" s="44"/>
      <c r="D530" s="44"/>
      <c r="E530" s="44"/>
      <c r="F530" s="44"/>
      <c r="G530" s="44"/>
      <c r="H530" s="44"/>
      <c r="I530" s="76"/>
    </row>
    <row r="531" ht="20.25" customHeight="1">
      <c r="A531" s="44"/>
      <c r="B531" s="44"/>
      <c r="C531" s="44"/>
      <c r="D531" s="44"/>
      <c r="E531" s="44"/>
      <c r="F531" s="44"/>
      <c r="G531" s="44"/>
      <c r="H531" s="44"/>
      <c r="I531" s="76"/>
    </row>
    <row r="532" ht="20.25" customHeight="1">
      <c r="A532" s="44"/>
      <c r="B532" s="44"/>
      <c r="C532" s="44"/>
      <c r="D532" s="44"/>
      <c r="E532" s="44"/>
      <c r="F532" s="44"/>
      <c r="G532" s="44"/>
      <c r="H532" s="44"/>
      <c r="I532" s="76"/>
    </row>
    <row r="533" ht="20.25" customHeight="1">
      <c r="A533" s="44"/>
      <c r="B533" s="44"/>
      <c r="C533" s="44"/>
      <c r="D533" s="44"/>
      <c r="E533" s="44"/>
      <c r="F533" s="44"/>
      <c r="G533" s="44"/>
      <c r="H533" s="44"/>
      <c r="I533" s="76"/>
    </row>
    <row r="534" ht="20.25" customHeight="1">
      <c r="A534" s="44"/>
      <c r="B534" s="44"/>
      <c r="C534" s="44"/>
      <c r="D534" s="44"/>
      <c r="E534" s="44"/>
      <c r="F534" s="44"/>
      <c r="G534" s="44"/>
      <c r="H534" s="44"/>
      <c r="I534" s="76"/>
    </row>
    <row r="535" ht="20.25" customHeight="1">
      <c r="A535" s="44"/>
      <c r="B535" s="44"/>
      <c r="C535" s="44"/>
      <c r="D535" s="44"/>
      <c r="E535" s="44"/>
      <c r="F535" s="44"/>
      <c r="G535" s="44"/>
      <c r="H535" s="44"/>
      <c r="I535" s="76"/>
    </row>
    <row r="536" ht="20.25" customHeight="1">
      <c r="A536" s="44"/>
      <c r="B536" s="44"/>
      <c r="C536" s="44"/>
      <c r="D536" s="44"/>
      <c r="E536" s="44"/>
      <c r="F536" s="44"/>
      <c r="G536" s="44"/>
      <c r="H536" s="44"/>
      <c r="I536" s="76"/>
    </row>
    <row r="537" ht="20.25" customHeight="1">
      <c r="A537" s="44"/>
      <c r="B537" s="44"/>
      <c r="C537" s="44"/>
      <c r="D537" s="44"/>
      <c r="E537" s="44"/>
      <c r="F537" s="44"/>
      <c r="G537" s="44"/>
      <c r="H537" s="44"/>
      <c r="I537" s="76"/>
    </row>
    <row r="538" ht="20.25" customHeight="1">
      <c r="A538" s="44"/>
      <c r="B538" s="44"/>
      <c r="C538" s="44"/>
      <c r="D538" s="44"/>
      <c r="E538" s="44"/>
      <c r="F538" s="44"/>
      <c r="G538" s="44"/>
      <c r="H538" s="44"/>
      <c r="I538" s="76"/>
    </row>
    <row r="539" ht="20.25" customHeight="1">
      <c r="A539" s="44"/>
      <c r="B539" s="44"/>
      <c r="C539" s="44"/>
      <c r="D539" s="44"/>
      <c r="E539" s="44"/>
      <c r="F539" s="44"/>
      <c r="G539" s="44"/>
      <c r="H539" s="44"/>
      <c r="I539" s="76"/>
    </row>
    <row r="540" ht="20.25" customHeight="1">
      <c r="A540" s="44"/>
      <c r="B540" s="44"/>
      <c r="C540" s="44"/>
      <c r="D540" s="44"/>
      <c r="E540" s="44"/>
      <c r="F540" s="44"/>
      <c r="G540" s="44"/>
      <c r="H540" s="44"/>
      <c r="I540" s="76"/>
    </row>
    <row r="541" ht="20.25" customHeight="1">
      <c r="A541" s="44"/>
      <c r="B541" s="44"/>
      <c r="C541" s="44"/>
      <c r="D541" s="44"/>
      <c r="E541" s="44"/>
      <c r="F541" s="44"/>
      <c r="G541" s="44"/>
      <c r="H541" s="44"/>
      <c r="I541" s="76"/>
    </row>
    <row r="542" ht="20.25" customHeight="1">
      <c r="A542" s="44"/>
      <c r="B542" s="44"/>
      <c r="C542" s="44"/>
      <c r="D542" s="44"/>
      <c r="E542" s="44"/>
      <c r="F542" s="44"/>
      <c r="G542" s="44"/>
      <c r="H542" s="44"/>
      <c r="I542" s="76"/>
    </row>
    <row r="543" ht="20.25" customHeight="1">
      <c r="A543" s="44"/>
      <c r="B543" s="44"/>
      <c r="C543" s="44"/>
      <c r="D543" s="44"/>
      <c r="E543" s="44"/>
      <c r="F543" s="44"/>
      <c r="G543" s="44"/>
      <c r="H543" s="44"/>
      <c r="I543" s="76"/>
    </row>
    <row r="544" ht="20.25" customHeight="1">
      <c r="A544" s="44"/>
      <c r="B544" s="44"/>
      <c r="C544" s="44"/>
      <c r="D544" s="44"/>
      <c r="E544" s="44"/>
      <c r="F544" s="44"/>
      <c r="G544" s="44"/>
      <c r="H544" s="44"/>
      <c r="I544" s="76"/>
    </row>
    <row r="545" ht="20.25" customHeight="1">
      <c r="A545" s="44"/>
      <c r="B545" s="44"/>
      <c r="C545" s="44"/>
      <c r="D545" s="44"/>
      <c r="E545" s="44"/>
      <c r="F545" s="44"/>
      <c r="G545" s="44"/>
      <c r="H545" s="44"/>
      <c r="I545" s="76"/>
    </row>
    <row r="546" ht="20.25" customHeight="1">
      <c r="A546" s="44"/>
      <c r="B546" s="44"/>
      <c r="C546" s="44"/>
      <c r="D546" s="44"/>
      <c r="E546" s="44"/>
      <c r="F546" s="44"/>
      <c r="G546" s="44"/>
      <c r="H546" s="44"/>
      <c r="I546" s="76"/>
    </row>
    <row r="547" ht="20.25" customHeight="1">
      <c r="A547" s="44"/>
      <c r="B547" s="44"/>
      <c r="C547" s="44"/>
      <c r="D547" s="44"/>
      <c r="E547" s="44"/>
      <c r="F547" s="44"/>
      <c r="G547" s="44"/>
      <c r="H547" s="44"/>
      <c r="I547" s="76"/>
    </row>
    <row r="548" ht="20.25" customHeight="1">
      <c r="A548" s="44"/>
      <c r="B548" s="44"/>
      <c r="C548" s="44"/>
      <c r="D548" s="44"/>
      <c r="E548" s="44"/>
      <c r="F548" s="44"/>
      <c r="G548" s="44"/>
      <c r="H548" s="44"/>
      <c r="I548" s="76"/>
    </row>
    <row r="549" ht="20.25" customHeight="1">
      <c r="A549" s="44"/>
      <c r="B549" s="44"/>
      <c r="C549" s="44"/>
      <c r="D549" s="44"/>
      <c r="E549" s="44"/>
      <c r="F549" s="44"/>
      <c r="G549" s="44"/>
      <c r="H549" s="44"/>
      <c r="I549" s="76"/>
    </row>
    <row r="550" ht="20.25" customHeight="1">
      <c r="A550" s="44"/>
      <c r="B550" s="44"/>
      <c r="C550" s="44"/>
      <c r="D550" s="44"/>
      <c r="E550" s="44"/>
      <c r="F550" s="44"/>
      <c r="G550" s="44"/>
      <c r="H550" s="44"/>
      <c r="I550" s="76"/>
    </row>
    <row r="551" ht="20.25" customHeight="1">
      <c r="A551" s="44"/>
      <c r="B551" s="44"/>
      <c r="C551" s="44"/>
      <c r="D551" s="44"/>
      <c r="E551" s="44"/>
      <c r="F551" s="44"/>
      <c r="G551" s="44"/>
      <c r="H551" s="44"/>
      <c r="I551" s="76"/>
    </row>
    <row r="552" ht="20.25" customHeight="1">
      <c r="A552" s="44"/>
      <c r="B552" s="44"/>
      <c r="C552" s="44"/>
      <c r="D552" s="44"/>
      <c r="E552" s="44"/>
      <c r="F552" s="44"/>
      <c r="G552" s="44"/>
      <c r="H552" s="44"/>
      <c r="I552" s="76"/>
    </row>
    <row r="553" ht="20.25" customHeight="1">
      <c r="A553" s="44"/>
      <c r="B553" s="44"/>
      <c r="C553" s="44"/>
      <c r="D553" s="44"/>
      <c r="E553" s="44"/>
      <c r="F553" s="44"/>
      <c r="G553" s="44"/>
      <c r="H553" s="44"/>
      <c r="I553" s="76"/>
    </row>
    <row r="554" ht="20.25" customHeight="1">
      <c r="A554" s="44"/>
      <c r="B554" s="44"/>
      <c r="C554" s="44"/>
      <c r="D554" s="44"/>
      <c r="E554" s="44"/>
      <c r="F554" s="44"/>
      <c r="G554" s="44"/>
      <c r="H554" s="44"/>
      <c r="I554" s="76"/>
    </row>
    <row r="555" ht="20.25" customHeight="1">
      <c r="A555" s="44"/>
      <c r="B555" s="44"/>
      <c r="C555" s="44"/>
      <c r="D555" s="44"/>
      <c r="E555" s="44"/>
      <c r="F555" s="44"/>
      <c r="G555" s="44"/>
      <c r="H555" s="44"/>
      <c r="I555" s="76"/>
    </row>
    <row r="556" ht="20.25" customHeight="1">
      <c r="A556" s="44"/>
      <c r="B556" s="44"/>
      <c r="C556" s="44"/>
      <c r="D556" s="44"/>
      <c r="E556" s="44"/>
      <c r="F556" s="44"/>
      <c r="G556" s="44"/>
      <c r="H556" s="44"/>
      <c r="I556" s="76"/>
    </row>
    <row r="557" ht="20.25" customHeight="1">
      <c r="A557" s="44"/>
      <c r="B557" s="44"/>
      <c r="C557" s="44"/>
      <c r="D557" s="44"/>
      <c r="E557" s="44"/>
      <c r="F557" s="44"/>
      <c r="G557" s="44"/>
      <c r="H557" s="44"/>
      <c r="I557" s="76"/>
    </row>
    <row r="558" ht="20.25" customHeight="1">
      <c r="A558" s="44"/>
      <c r="B558" s="44"/>
      <c r="C558" s="44"/>
      <c r="D558" s="44"/>
      <c r="E558" s="44"/>
      <c r="F558" s="44"/>
      <c r="G558" s="44"/>
      <c r="H558" s="44"/>
      <c r="I558" s="76"/>
    </row>
    <row r="559" ht="20.25" customHeight="1">
      <c r="A559" s="44"/>
      <c r="B559" s="44"/>
      <c r="C559" s="44"/>
      <c r="D559" s="44"/>
      <c r="E559" s="44"/>
      <c r="F559" s="44"/>
      <c r="G559" s="44"/>
      <c r="H559" s="44"/>
      <c r="I559" s="76"/>
    </row>
    <row r="560" ht="20.25" customHeight="1">
      <c r="A560" s="44"/>
      <c r="B560" s="44"/>
      <c r="C560" s="44"/>
      <c r="D560" s="44"/>
      <c r="E560" s="44"/>
      <c r="F560" s="44"/>
      <c r="G560" s="44"/>
      <c r="H560" s="44"/>
      <c r="I560" s="76"/>
    </row>
    <row r="561" ht="20.25" customHeight="1">
      <c r="A561" s="44"/>
      <c r="B561" s="44"/>
      <c r="C561" s="44"/>
      <c r="D561" s="44"/>
      <c r="E561" s="44"/>
      <c r="F561" s="44"/>
      <c r="G561" s="44"/>
      <c r="H561" s="44"/>
      <c r="I561" s="76"/>
    </row>
    <row r="562" ht="20.25" customHeight="1">
      <c r="A562" s="44"/>
      <c r="B562" s="44"/>
      <c r="C562" s="44"/>
      <c r="D562" s="44"/>
      <c r="E562" s="44"/>
      <c r="F562" s="44"/>
      <c r="G562" s="44"/>
      <c r="H562" s="44"/>
      <c r="I562" s="76"/>
    </row>
    <row r="563" ht="20.25" customHeight="1">
      <c r="A563" s="44"/>
      <c r="B563" s="44"/>
      <c r="C563" s="44"/>
      <c r="D563" s="44"/>
      <c r="E563" s="44"/>
      <c r="F563" s="44"/>
      <c r="G563" s="44"/>
      <c r="H563" s="44"/>
      <c r="I563" s="76"/>
    </row>
    <row r="564" ht="20.25" customHeight="1">
      <c r="A564" s="44"/>
      <c r="B564" s="44"/>
      <c r="C564" s="44"/>
      <c r="D564" s="44"/>
      <c r="E564" s="44"/>
      <c r="F564" s="44"/>
      <c r="G564" s="44"/>
      <c r="H564" s="44"/>
      <c r="I564" s="76"/>
    </row>
    <row r="565" ht="20.25" customHeight="1">
      <c r="A565" s="44"/>
      <c r="B565" s="44"/>
      <c r="C565" s="44"/>
      <c r="D565" s="44"/>
      <c r="E565" s="44"/>
      <c r="F565" s="44"/>
      <c r="G565" s="44"/>
      <c r="H565" s="44"/>
      <c r="I565" s="76"/>
    </row>
    <row r="566" ht="20.25" customHeight="1">
      <c r="A566" s="44"/>
      <c r="B566" s="44"/>
      <c r="C566" s="44"/>
      <c r="D566" s="44"/>
      <c r="E566" s="44"/>
      <c r="F566" s="44"/>
      <c r="G566" s="44"/>
      <c r="H566" s="44"/>
      <c r="I566" s="76"/>
    </row>
    <row r="567" ht="20.25" customHeight="1">
      <c r="A567" s="44"/>
      <c r="B567" s="44"/>
      <c r="C567" s="44"/>
      <c r="D567" s="44"/>
      <c r="E567" s="44"/>
      <c r="F567" s="44"/>
      <c r="G567" s="44"/>
      <c r="H567" s="44"/>
      <c r="I567" s="76"/>
    </row>
    <row r="568" ht="20.25" customHeight="1">
      <c r="A568" s="44"/>
      <c r="B568" s="44"/>
      <c r="C568" s="44"/>
      <c r="D568" s="44"/>
      <c r="E568" s="44"/>
      <c r="F568" s="44"/>
      <c r="G568" s="44"/>
      <c r="H568" s="44"/>
      <c r="I568" s="76"/>
    </row>
    <row r="569" ht="20.25" customHeight="1">
      <c r="A569" s="44"/>
      <c r="B569" s="44"/>
      <c r="C569" s="44"/>
      <c r="D569" s="44"/>
      <c r="E569" s="44"/>
      <c r="F569" s="44"/>
      <c r="G569" s="44"/>
      <c r="H569" s="44"/>
      <c r="I569" s="76"/>
    </row>
    <row r="570" ht="20.25" customHeight="1">
      <c r="A570" s="44"/>
      <c r="B570" s="44"/>
      <c r="C570" s="44"/>
      <c r="D570" s="44"/>
      <c r="E570" s="44"/>
      <c r="F570" s="44"/>
      <c r="G570" s="44"/>
      <c r="H570" s="44"/>
      <c r="I570" s="76"/>
    </row>
    <row r="571" ht="20.25" customHeight="1">
      <c r="A571" s="44"/>
      <c r="B571" s="44"/>
      <c r="C571" s="44"/>
      <c r="D571" s="44"/>
      <c r="E571" s="44"/>
      <c r="F571" s="44"/>
      <c r="G571" s="44"/>
      <c r="H571" s="44"/>
      <c r="I571" s="76"/>
    </row>
    <row r="572" ht="20.25" customHeight="1">
      <c r="A572" s="44"/>
      <c r="B572" s="44"/>
      <c r="C572" s="44"/>
      <c r="D572" s="44"/>
      <c r="E572" s="44"/>
      <c r="F572" s="44"/>
      <c r="G572" s="44"/>
      <c r="H572" s="44"/>
      <c r="I572" s="76"/>
    </row>
    <row r="573" ht="20.25" customHeight="1">
      <c r="A573" s="44"/>
      <c r="B573" s="44"/>
      <c r="C573" s="44"/>
      <c r="D573" s="44"/>
      <c r="E573" s="44"/>
      <c r="F573" s="44"/>
      <c r="G573" s="44"/>
      <c r="H573" s="44"/>
      <c r="I573" s="76"/>
    </row>
    <row r="574" ht="20.25" customHeight="1">
      <c r="A574" s="44"/>
      <c r="B574" s="44"/>
      <c r="C574" s="44"/>
      <c r="D574" s="44"/>
      <c r="E574" s="44"/>
      <c r="F574" s="44"/>
      <c r="G574" s="44"/>
      <c r="H574" s="44"/>
      <c r="I574" s="76"/>
    </row>
    <row r="575" ht="20.25" customHeight="1">
      <c r="A575" s="44"/>
      <c r="B575" s="44"/>
      <c r="C575" s="44"/>
      <c r="D575" s="44"/>
      <c r="E575" s="44"/>
      <c r="F575" s="44"/>
      <c r="G575" s="44"/>
      <c r="H575" s="44"/>
      <c r="I575" s="76"/>
    </row>
    <row r="576" ht="20.25" customHeight="1">
      <c r="A576" s="44"/>
      <c r="B576" s="44"/>
      <c r="C576" s="44"/>
      <c r="D576" s="44"/>
      <c r="E576" s="44"/>
      <c r="F576" s="44"/>
      <c r="G576" s="44"/>
      <c r="H576" s="44"/>
      <c r="I576" s="76"/>
    </row>
    <row r="577" ht="20.25" customHeight="1">
      <c r="A577" s="44"/>
      <c r="B577" s="44"/>
      <c r="C577" s="44"/>
      <c r="D577" s="44"/>
      <c r="E577" s="44"/>
      <c r="F577" s="44"/>
      <c r="G577" s="44"/>
      <c r="H577" s="44"/>
      <c r="I577" s="76"/>
    </row>
    <row r="578" ht="20.25" customHeight="1">
      <c r="A578" s="44"/>
      <c r="B578" s="44"/>
      <c r="C578" s="44"/>
      <c r="D578" s="44"/>
      <c r="E578" s="44"/>
      <c r="F578" s="44"/>
      <c r="G578" s="44"/>
      <c r="H578" s="44"/>
      <c r="I578" s="76"/>
    </row>
    <row r="579" ht="20.25" customHeight="1">
      <c r="A579" s="44"/>
      <c r="B579" s="44"/>
      <c r="C579" s="44"/>
      <c r="D579" s="44"/>
      <c r="E579" s="44"/>
      <c r="F579" s="44"/>
      <c r="G579" s="44"/>
      <c r="H579" s="44"/>
      <c r="I579" s="76"/>
    </row>
    <row r="580" ht="20.25" customHeight="1">
      <c r="A580" s="44"/>
      <c r="B580" s="44"/>
      <c r="C580" s="44"/>
      <c r="D580" s="44"/>
      <c r="E580" s="44"/>
      <c r="F580" s="44"/>
      <c r="G580" s="44"/>
      <c r="H580" s="44"/>
      <c r="I580" s="76"/>
    </row>
    <row r="581" ht="20.25" customHeight="1">
      <c r="A581" s="44"/>
      <c r="B581" s="44"/>
      <c r="C581" s="44"/>
      <c r="D581" s="44"/>
      <c r="E581" s="44"/>
      <c r="F581" s="44"/>
      <c r="G581" s="44"/>
      <c r="H581" s="44"/>
      <c r="I581" s="76"/>
    </row>
    <row r="582" ht="20.25" customHeight="1">
      <c r="A582" s="44"/>
      <c r="B582" s="44"/>
      <c r="C582" s="44"/>
      <c r="D582" s="44"/>
      <c r="E582" s="44"/>
      <c r="F582" s="44"/>
      <c r="G582" s="44"/>
      <c r="H582" s="44"/>
      <c r="I582" s="76"/>
    </row>
    <row r="583" ht="20.25" customHeight="1">
      <c r="A583" s="44"/>
      <c r="B583" s="44"/>
      <c r="C583" s="44"/>
      <c r="D583" s="44"/>
      <c r="E583" s="44"/>
      <c r="F583" s="44"/>
      <c r="G583" s="44"/>
      <c r="H583" s="44"/>
      <c r="I583" s="76"/>
    </row>
    <row r="584" ht="20.25" customHeight="1">
      <c r="A584" s="44"/>
      <c r="B584" s="44"/>
      <c r="C584" s="44"/>
      <c r="D584" s="44"/>
      <c r="E584" s="44"/>
      <c r="F584" s="44"/>
      <c r="G584" s="44"/>
      <c r="H584" s="44"/>
      <c r="I584" s="76"/>
    </row>
  </sheetData>
  <autoFilter ref="$A$36:$I$473">
    <sortState ref="A36:I473">
      <sortCondition ref="D36:D473"/>
      <sortCondition ref="E36:E473"/>
    </sortState>
  </autoFilter>
  <customSheetViews>
    <customSheetView guid="{72256F01-0C86-4CAF-AE7B-213A8F18EC2B}" filter="1" showAutoFilter="1">
      <autoFilter ref="$A$36:$I$513"/>
    </customSheetView>
    <customSheetView guid="{337816CC-850F-4D8A-9A21-5D6FA7C66D79}" filter="1" showAutoFilter="1">
      <autoFilter ref="$A$1:$F$33"/>
    </customSheetView>
  </customSheetView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4.75"/>
    <col customWidth="1" min="2" max="2" width="20.38"/>
    <col customWidth="1" min="3" max="3" width="24.25"/>
    <col customWidth="1" min="4" max="4" width="16.88"/>
    <col customWidth="1" min="5" max="6" width="23.63"/>
    <col customWidth="1" min="7" max="8" width="19.75"/>
    <col customWidth="1" min="9" max="9" width="21.5"/>
    <col customWidth="1" min="10" max="12" width="26.63"/>
    <col customWidth="1" min="13" max="13" width="25.63"/>
    <col customWidth="1" min="15" max="15" width="38.25"/>
    <col customWidth="1" min="16" max="16" width="24.88"/>
  </cols>
  <sheetData>
    <row r="1">
      <c r="A1" s="2" t="s">
        <v>288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</row>
    <row r="2">
      <c r="A2" s="3"/>
      <c r="B2" s="5"/>
      <c r="C2" s="5"/>
      <c r="D2" s="3"/>
      <c r="E2" s="7"/>
      <c r="F2" s="7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</row>
    <row r="3">
      <c r="A3" s="9" t="s">
        <v>3</v>
      </c>
      <c r="B3" s="11" t="s">
        <v>4</v>
      </c>
      <c r="C3" s="9" t="s">
        <v>6</v>
      </c>
      <c r="D3" s="15" t="s">
        <v>11</v>
      </c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20" t="s">
        <v>15</v>
      </c>
      <c r="B4" s="98"/>
      <c r="C4" s="98"/>
      <c r="D4" s="27">
        <f t="shared" ref="D4:D30" si="1">SUM(B4:C4)</f>
        <v>0</v>
      </c>
    </row>
    <row r="5">
      <c r="A5" s="20" t="s">
        <v>17</v>
      </c>
      <c r="B5" s="98"/>
      <c r="C5" s="98"/>
      <c r="D5" s="27">
        <f t="shared" si="1"/>
        <v>0</v>
      </c>
    </row>
    <row r="6">
      <c r="A6" s="20" t="s">
        <v>21</v>
      </c>
      <c r="B6" s="98"/>
      <c r="C6" s="98"/>
      <c r="D6" s="27">
        <f t="shared" si="1"/>
        <v>0</v>
      </c>
    </row>
    <row r="7">
      <c r="A7" s="20" t="s">
        <v>22</v>
      </c>
      <c r="B7" s="98"/>
      <c r="C7" s="98"/>
      <c r="D7" s="27">
        <f t="shared" si="1"/>
        <v>0</v>
      </c>
    </row>
    <row r="8">
      <c r="A8" s="20" t="s">
        <v>279</v>
      </c>
      <c r="B8" s="98"/>
      <c r="C8" s="98"/>
      <c r="D8" s="27">
        <f t="shared" si="1"/>
        <v>0</v>
      </c>
    </row>
    <row r="9">
      <c r="A9" s="20" t="s">
        <v>142</v>
      </c>
      <c r="B9" s="98"/>
      <c r="C9" s="98"/>
      <c r="D9" s="27">
        <f t="shared" si="1"/>
        <v>0</v>
      </c>
    </row>
    <row r="10">
      <c r="A10" s="20" t="s">
        <v>23</v>
      </c>
      <c r="B10" s="98"/>
      <c r="C10" s="98"/>
      <c r="D10" s="27">
        <f t="shared" si="1"/>
        <v>0</v>
      </c>
    </row>
    <row r="11">
      <c r="A11" s="20" t="s">
        <v>25</v>
      </c>
      <c r="B11" s="98"/>
      <c r="C11" s="98"/>
      <c r="D11" s="27">
        <f t="shared" si="1"/>
        <v>0</v>
      </c>
    </row>
    <row r="12">
      <c r="A12" s="20" t="s">
        <v>26</v>
      </c>
      <c r="B12" s="98"/>
      <c r="C12" s="98"/>
      <c r="D12" s="27">
        <f t="shared" si="1"/>
        <v>0</v>
      </c>
    </row>
    <row r="13">
      <c r="A13" s="20" t="s">
        <v>27</v>
      </c>
      <c r="B13" s="98"/>
      <c r="C13" s="98"/>
      <c r="D13" s="27">
        <f t="shared" si="1"/>
        <v>0</v>
      </c>
    </row>
    <row r="14">
      <c r="A14" s="20" t="s">
        <v>28</v>
      </c>
      <c r="B14" s="98"/>
      <c r="C14" s="98"/>
      <c r="D14" s="27">
        <f t="shared" si="1"/>
        <v>0</v>
      </c>
    </row>
    <row r="15">
      <c r="A15" s="20" t="s">
        <v>29</v>
      </c>
      <c r="B15" s="98"/>
      <c r="C15" s="98"/>
      <c r="D15" s="27">
        <f t="shared" si="1"/>
        <v>0</v>
      </c>
    </row>
    <row r="16">
      <c r="A16" s="20" t="s">
        <v>31</v>
      </c>
      <c r="B16" s="98"/>
      <c r="C16" s="98"/>
      <c r="D16" s="27">
        <f t="shared" si="1"/>
        <v>0</v>
      </c>
    </row>
    <row r="17">
      <c r="A17" s="20" t="s">
        <v>32</v>
      </c>
      <c r="B17" s="98"/>
      <c r="C17" s="98"/>
      <c r="D17" s="27">
        <f t="shared" si="1"/>
        <v>0</v>
      </c>
    </row>
    <row r="18">
      <c r="A18" s="20" t="s">
        <v>33</v>
      </c>
      <c r="B18" s="98"/>
      <c r="C18" s="98"/>
      <c r="D18" s="27">
        <f t="shared" si="1"/>
        <v>0</v>
      </c>
    </row>
    <row r="19">
      <c r="A19" s="20" t="s">
        <v>34</v>
      </c>
      <c r="B19" s="98"/>
      <c r="C19" s="98"/>
      <c r="D19" s="27">
        <f t="shared" si="1"/>
        <v>0</v>
      </c>
    </row>
    <row r="20">
      <c r="A20" s="20" t="s">
        <v>35</v>
      </c>
      <c r="B20" s="98"/>
      <c r="C20" s="98"/>
      <c r="D20" s="27">
        <f t="shared" si="1"/>
        <v>0</v>
      </c>
    </row>
    <row r="21" ht="16.5" customHeight="1">
      <c r="A21" s="20" t="s">
        <v>47</v>
      </c>
      <c r="B21" s="98"/>
      <c r="C21" s="98"/>
      <c r="D21" s="27">
        <f t="shared" si="1"/>
        <v>0</v>
      </c>
    </row>
    <row r="22">
      <c r="A22" s="20" t="s">
        <v>37</v>
      </c>
      <c r="B22" s="98"/>
      <c r="C22" s="98"/>
      <c r="D22" s="27">
        <f t="shared" si="1"/>
        <v>0</v>
      </c>
      <c r="E22" s="44"/>
    </row>
    <row r="23">
      <c r="A23" s="20" t="s">
        <v>38</v>
      </c>
      <c r="B23" s="98"/>
      <c r="C23" s="98"/>
      <c r="D23" s="27">
        <f t="shared" si="1"/>
        <v>0</v>
      </c>
    </row>
    <row r="24">
      <c r="A24" s="20" t="s">
        <v>40</v>
      </c>
      <c r="B24" s="98"/>
      <c r="C24" s="98"/>
      <c r="D24" s="27">
        <f t="shared" si="1"/>
        <v>0</v>
      </c>
    </row>
    <row r="25">
      <c r="A25" s="20" t="s">
        <v>245</v>
      </c>
      <c r="B25" s="98"/>
      <c r="C25" s="98"/>
      <c r="D25" s="27">
        <f t="shared" si="1"/>
        <v>0</v>
      </c>
    </row>
    <row r="26">
      <c r="A26" s="20" t="s">
        <v>42</v>
      </c>
      <c r="B26" s="98"/>
      <c r="C26" s="98"/>
      <c r="D26" s="27">
        <f t="shared" si="1"/>
        <v>0</v>
      </c>
    </row>
    <row r="27">
      <c r="A27" s="20" t="s">
        <v>43</v>
      </c>
      <c r="B27" s="98"/>
      <c r="C27" s="98"/>
      <c r="D27" s="27">
        <f t="shared" si="1"/>
        <v>0</v>
      </c>
    </row>
    <row r="28">
      <c r="A28" s="20" t="s">
        <v>44</v>
      </c>
      <c r="B28" s="98"/>
      <c r="C28" s="98"/>
      <c r="D28" s="27">
        <f t="shared" si="1"/>
        <v>0</v>
      </c>
    </row>
    <row r="29">
      <c r="A29" s="20" t="s">
        <v>45</v>
      </c>
      <c r="B29" s="98"/>
      <c r="C29" s="98"/>
      <c r="D29" s="27">
        <f t="shared" si="1"/>
        <v>0</v>
      </c>
    </row>
    <row r="30">
      <c r="A30" s="20" t="s">
        <v>48</v>
      </c>
      <c r="B30" s="98"/>
      <c r="C30" s="98"/>
      <c r="D30" s="27">
        <f t="shared" si="1"/>
        <v>0</v>
      </c>
    </row>
    <row r="31">
      <c r="A31" s="46" t="s">
        <v>11</v>
      </c>
      <c r="B31" s="48">
        <f t="shared" ref="B31:C31" si="2">sum(B4:B30)</f>
        <v>0</v>
      </c>
      <c r="C31" s="48">
        <f t="shared" si="2"/>
        <v>0</v>
      </c>
      <c r="D31" s="22">
        <f>SUM(D4:D30)</f>
        <v>0</v>
      </c>
    </row>
    <row r="34" ht="20.25" customHeight="1">
      <c r="A34" s="141" t="s">
        <v>50</v>
      </c>
      <c r="B34" s="141" t="s">
        <v>51</v>
      </c>
      <c r="C34" s="141" t="s">
        <v>52</v>
      </c>
      <c r="D34" s="141" t="s">
        <v>53</v>
      </c>
      <c r="E34" s="142" t="s">
        <v>54</v>
      </c>
      <c r="F34" s="141" t="s">
        <v>55</v>
      </c>
      <c r="G34" s="141" t="s">
        <v>56</v>
      </c>
      <c r="H34" s="141" t="s">
        <v>57</v>
      </c>
      <c r="I34" s="143" t="s">
        <v>58</v>
      </c>
    </row>
    <row r="35" ht="20.25" hidden="1" customHeight="1">
      <c r="A35" s="144">
        <v>2025.0</v>
      </c>
      <c r="B35" s="144">
        <v>10.0</v>
      </c>
      <c r="C35" s="144" t="s">
        <v>59</v>
      </c>
      <c r="D35" s="144" t="s">
        <v>60</v>
      </c>
      <c r="E35" s="144" t="s">
        <v>28</v>
      </c>
      <c r="F35" s="144" t="s">
        <v>61</v>
      </c>
      <c r="G35" s="144">
        <v>17.5</v>
      </c>
      <c r="H35" s="144">
        <v>12.5</v>
      </c>
      <c r="I35" s="144">
        <v>218.75</v>
      </c>
    </row>
    <row r="36" ht="20.25" hidden="1" customHeight="1">
      <c r="A36" s="144">
        <v>2025.0</v>
      </c>
      <c r="B36" s="144">
        <v>11.0</v>
      </c>
      <c r="C36" s="144" t="s">
        <v>59</v>
      </c>
      <c r="D36" s="144" t="s">
        <v>60</v>
      </c>
      <c r="E36" s="144" t="s">
        <v>28</v>
      </c>
      <c r="F36" s="144" t="s">
        <v>61</v>
      </c>
      <c r="G36" s="144">
        <v>16.5</v>
      </c>
      <c r="H36" s="144">
        <v>12.5</v>
      </c>
      <c r="I36" s="144">
        <v>206.25</v>
      </c>
    </row>
    <row r="37" ht="20.25" hidden="1" customHeight="1">
      <c r="A37" s="144">
        <v>2025.0</v>
      </c>
      <c r="B37" s="144">
        <v>12.0</v>
      </c>
      <c r="C37" s="144" t="s">
        <v>59</v>
      </c>
      <c r="D37" s="144" t="s">
        <v>60</v>
      </c>
      <c r="E37" s="144" t="s">
        <v>28</v>
      </c>
      <c r="F37" s="144" t="s">
        <v>61</v>
      </c>
      <c r="G37" s="144">
        <v>18.0</v>
      </c>
      <c r="H37" s="144">
        <v>12.5</v>
      </c>
      <c r="I37" s="144">
        <v>225.0</v>
      </c>
    </row>
    <row r="38" ht="20.25" hidden="1" customHeight="1">
      <c r="A38" s="144">
        <v>2025.0</v>
      </c>
      <c r="B38" s="144">
        <v>10.0</v>
      </c>
      <c r="C38" s="144" t="s">
        <v>449</v>
      </c>
      <c r="D38" s="144" t="s">
        <v>450</v>
      </c>
      <c r="E38" s="144" t="s">
        <v>28</v>
      </c>
      <c r="F38" s="144" t="s">
        <v>61</v>
      </c>
      <c r="G38" s="144">
        <v>22.0</v>
      </c>
      <c r="H38" s="144">
        <v>10.0</v>
      </c>
      <c r="I38" s="144">
        <v>220.0</v>
      </c>
    </row>
    <row r="39" ht="20.25" hidden="1" customHeight="1">
      <c r="A39" s="144">
        <v>2025.0</v>
      </c>
      <c r="B39" s="144">
        <v>11.0</v>
      </c>
      <c r="C39" s="144" t="s">
        <v>449</v>
      </c>
      <c r="D39" s="144" t="s">
        <v>450</v>
      </c>
      <c r="E39" s="144" t="s">
        <v>28</v>
      </c>
      <c r="F39" s="144" t="s">
        <v>61</v>
      </c>
      <c r="G39" s="144">
        <v>17.0</v>
      </c>
      <c r="H39" s="144">
        <v>10.0</v>
      </c>
      <c r="I39" s="144">
        <v>170.0</v>
      </c>
    </row>
    <row r="40" ht="20.25" hidden="1" customHeight="1">
      <c r="A40" s="144">
        <v>2025.0</v>
      </c>
      <c r="B40" s="144">
        <v>12.0</v>
      </c>
      <c r="C40" s="144" t="s">
        <v>449</v>
      </c>
      <c r="D40" s="144" t="s">
        <v>450</v>
      </c>
      <c r="E40" s="144" t="s">
        <v>28</v>
      </c>
      <c r="F40" s="144" t="s">
        <v>61</v>
      </c>
      <c r="G40" s="144">
        <v>18.0</v>
      </c>
      <c r="H40" s="144">
        <v>10.0</v>
      </c>
      <c r="I40" s="144">
        <v>180.0</v>
      </c>
    </row>
    <row r="41" ht="20.25" hidden="1" customHeight="1">
      <c r="A41" s="144">
        <v>2025.0</v>
      </c>
      <c r="B41" s="144">
        <v>10.0</v>
      </c>
      <c r="C41" s="144" t="s">
        <v>64</v>
      </c>
      <c r="D41" s="144" t="s">
        <v>65</v>
      </c>
      <c r="E41" s="144" t="s">
        <v>15</v>
      </c>
      <c r="F41" s="144" t="s">
        <v>61</v>
      </c>
      <c r="G41" s="144">
        <v>0.5</v>
      </c>
      <c r="H41" s="144">
        <v>26.9</v>
      </c>
      <c r="I41" s="144">
        <v>13.45</v>
      </c>
    </row>
    <row r="42" ht="20.25" hidden="1" customHeight="1">
      <c r="A42" s="144">
        <v>2025.0</v>
      </c>
      <c r="B42" s="144">
        <v>11.0</v>
      </c>
      <c r="C42" s="144" t="s">
        <v>62</v>
      </c>
      <c r="D42" s="144" t="s">
        <v>63</v>
      </c>
      <c r="E42" s="144" t="s">
        <v>35</v>
      </c>
      <c r="F42" s="144" t="s">
        <v>61</v>
      </c>
      <c r="G42" s="144">
        <v>4.0</v>
      </c>
      <c r="H42" s="144">
        <v>7.7</v>
      </c>
      <c r="I42" s="144">
        <v>30.8</v>
      </c>
    </row>
    <row r="43" ht="20.25" hidden="1" customHeight="1">
      <c r="A43" s="144">
        <v>2025.0</v>
      </c>
      <c r="B43" s="144">
        <v>10.0</v>
      </c>
      <c r="C43" s="144" t="s">
        <v>64</v>
      </c>
      <c r="D43" s="144" t="s">
        <v>65</v>
      </c>
      <c r="E43" s="144" t="s">
        <v>15</v>
      </c>
      <c r="F43" s="144" t="s">
        <v>61</v>
      </c>
      <c r="G43" s="144">
        <v>21.5</v>
      </c>
      <c r="H43" s="144">
        <v>26.9</v>
      </c>
      <c r="I43" s="144">
        <v>578.35</v>
      </c>
    </row>
    <row r="44" ht="20.25" hidden="1" customHeight="1">
      <c r="A44" s="144">
        <v>2025.0</v>
      </c>
      <c r="B44" s="144">
        <v>12.0</v>
      </c>
      <c r="C44" s="144" t="s">
        <v>62</v>
      </c>
      <c r="D44" s="144" t="s">
        <v>63</v>
      </c>
      <c r="E44" s="144" t="s">
        <v>35</v>
      </c>
      <c r="F44" s="144" t="s">
        <v>61</v>
      </c>
      <c r="G44" s="144">
        <v>15.0</v>
      </c>
      <c r="H44" s="144">
        <v>7.7</v>
      </c>
      <c r="I44" s="144">
        <v>115.5</v>
      </c>
    </row>
    <row r="45" ht="20.25" hidden="1" customHeight="1">
      <c r="A45" s="144">
        <v>2025.0</v>
      </c>
      <c r="B45" s="144">
        <v>11.0</v>
      </c>
      <c r="C45" s="144" t="s">
        <v>64</v>
      </c>
      <c r="D45" s="144" t="s">
        <v>65</v>
      </c>
      <c r="E45" s="144" t="s">
        <v>15</v>
      </c>
      <c r="F45" s="144" t="s">
        <v>61</v>
      </c>
      <c r="G45" s="144">
        <v>18.5</v>
      </c>
      <c r="H45" s="144">
        <v>26.9</v>
      </c>
      <c r="I45" s="144">
        <v>497.65</v>
      </c>
    </row>
    <row r="46" ht="20.25" hidden="1" customHeight="1">
      <c r="A46" s="144">
        <v>2025.0</v>
      </c>
      <c r="B46" s="144">
        <v>12.0</v>
      </c>
      <c r="C46" s="144" t="s">
        <v>64</v>
      </c>
      <c r="D46" s="144" t="s">
        <v>65</v>
      </c>
      <c r="E46" s="144" t="s">
        <v>15</v>
      </c>
      <c r="F46" s="144" t="s">
        <v>61</v>
      </c>
      <c r="G46" s="144">
        <v>17.5</v>
      </c>
      <c r="H46" s="144">
        <v>26.9</v>
      </c>
      <c r="I46" s="144">
        <v>470.75</v>
      </c>
    </row>
    <row r="47" ht="20.25" hidden="1" customHeight="1">
      <c r="A47" s="144">
        <v>2025.0</v>
      </c>
      <c r="B47" s="144">
        <v>10.0</v>
      </c>
      <c r="C47" s="144" t="s">
        <v>64</v>
      </c>
      <c r="D47" s="144" t="s">
        <v>65</v>
      </c>
      <c r="E47" s="144" t="s">
        <v>17</v>
      </c>
      <c r="F47" s="144" t="s">
        <v>61</v>
      </c>
      <c r="G47" s="144">
        <v>0.5</v>
      </c>
      <c r="H47" s="144">
        <v>15.9</v>
      </c>
      <c r="I47" s="144">
        <v>7.95</v>
      </c>
    </row>
    <row r="48" ht="20.25" hidden="1" customHeight="1">
      <c r="A48" s="144">
        <v>2025.0</v>
      </c>
      <c r="B48" s="144">
        <v>10.0</v>
      </c>
      <c r="C48" s="144" t="s">
        <v>64</v>
      </c>
      <c r="D48" s="144" t="s">
        <v>65</v>
      </c>
      <c r="E48" s="144" t="s">
        <v>17</v>
      </c>
      <c r="F48" s="144" t="s">
        <v>61</v>
      </c>
      <c r="G48" s="144">
        <v>21.5</v>
      </c>
      <c r="H48" s="144">
        <v>15.9</v>
      </c>
      <c r="I48" s="144">
        <v>341.85</v>
      </c>
    </row>
    <row r="49" ht="20.25" hidden="1" customHeight="1">
      <c r="A49" s="144">
        <v>2025.0</v>
      </c>
      <c r="B49" s="144">
        <v>10.0</v>
      </c>
      <c r="C49" s="144" t="s">
        <v>89</v>
      </c>
      <c r="D49" s="144" t="s">
        <v>15</v>
      </c>
      <c r="E49" s="144" t="s">
        <v>15</v>
      </c>
      <c r="F49" s="144" t="s">
        <v>61</v>
      </c>
      <c r="G49" s="144">
        <v>16.0</v>
      </c>
      <c r="H49" s="144">
        <v>54.25</v>
      </c>
      <c r="I49" s="144">
        <v>868.0</v>
      </c>
    </row>
    <row r="50" ht="20.25" hidden="1" customHeight="1">
      <c r="A50" s="144">
        <v>2025.0</v>
      </c>
      <c r="B50" s="144">
        <v>11.0</v>
      </c>
      <c r="C50" s="144" t="s">
        <v>64</v>
      </c>
      <c r="D50" s="144" t="s">
        <v>65</v>
      </c>
      <c r="E50" s="144" t="s">
        <v>17</v>
      </c>
      <c r="F50" s="144" t="s">
        <v>61</v>
      </c>
      <c r="G50" s="144">
        <v>18.5</v>
      </c>
      <c r="H50" s="144">
        <v>15.9</v>
      </c>
      <c r="I50" s="144">
        <v>294.15</v>
      </c>
    </row>
    <row r="51" ht="20.25" hidden="1" customHeight="1">
      <c r="A51" s="144">
        <v>2025.0</v>
      </c>
      <c r="B51" s="144">
        <v>11.0</v>
      </c>
      <c r="C51" s="144" t="s">
        <v>89</v>
      </c>
      <c r="D51" s="144" t="s">
        <v>15</v>
      </c>
      <c r="E51" s="144" t="s">
        <v>15</v>
      </c>
      <c r="F51" s="144" t="s">
        <v>61</v>
      </c>
      <c r="G51" s="144">
        <v>13.5</v>
      </c>
      <c r="H51" s="144">
        <v>54.25</v>
      </c>
      <c r="I51" s="144">
        <v>732.38</v>
      </c>
    </row>
    <row r="52" ht="20.25" hidden="1" customHeight="1">
      <c r="A52" s="144">
        <v>2025.0</v>
      </c>
      <c r="B52" s="144">
        <v>12.0</v>
      </c>
      <c r="C52" s="144" t="s">
        <v>64</v>
      </c>
      <c r="D52" s="144" t="s">
        <v>65</v>
      </c>
      <c r="E52" s="144" t="s">
        <v>17</v>
      </c>
      <c r="F52" s="144" t="s">
        <v>61</v>
      </c>
      <c r="G52" s="144">
        <v>17.5</v>
      </c>
      <c r="H52" s="144">
        <v>15.9</v>
      </c>
      <c r="I52" s="144">
        <v>278.25</v>
      </c>
    </row>
    <row r="53" ht="20.25" hidden="1" customHeight="1">
      <c r="A53" s="144">
        <v>2025.0</v>
      </c>
      <c r="B53" s="144">
        <v>10.0</v>
      </c>
      <c r="C53" s="144" t="s">
        <v>451</v>
      </c>
      <c r="D53" s="144" t="s">
        <v>13</v>
      </c>
      <c r="E53" s="144" t="s">
        <v>17</v>
      </c>
      <c r="F53" s="144" t="s">
        <v>61</v>
      </c>
      <c r="G53" s="144">
        <v>22.5</v>
      </c>
      <c r="H53" s="144">
        <v>10.0</v>
      </c>
      <c r="I53" s="144">
        <v>225.0</v>
      </c>
    </row>
    <row r="54" ht="20.25" hidden="1" customHeight="1">
      <c r="A54" s="144">
        <v>2025.0</v>
      </c>
      <c r="B54" s="144">
        <v>11.0</v>
      </c>
      <c r="C54" s="144" t="s">
        <v>451</v>
      </c>
      <c r="D54" s="144" t="s">
        <v>13</v>
      </c>
      <c r="E54" s="144" t="s">
        <v>17</v>
      </c>
      <c r="F54" s="144" t="s">
        <v>61</v>
      </c>
      <c r="G54" s="144">
        <v>15.0</v>
      </c>
      <c r="H54" s="144">
        <v>10.0</v>
      </c>
      <c r="I54" s="144">
        <v>150.0</v>
      </c>
    </row>
    <row r="55" ht="20.25" hidden="1" customHeight="1">
      <c r="A55" s="144">
        <v>2025.0</v>
      </c>
      <c r="B55" s="144">
        <v>12.0</v>
      </c>
      <c r="C55" s="144" t="s">
        <v>451</v>
      </c>
      <c r="D55" s="144" t="s">
        <v>13</v>
      </c>
      <c r="E55" s="144" t="s">
        <v>17</v>
      </c>
      <c r="F55" s="144" t="s">
        <v>61</v>
      </c>
      <c r="G55" s="144">
        <v>15.0</v>
      </c>
      <c r="H55" s="144">
        <v>10.0</v>
      </c>
      <c r="I55" s="144">
        <v>150.0</v>
      </c>
    </row>
    <row r="56" ht="20.25" hidden="1" customHeight="1">
      <c r="A56" s="144">
        <v>2025.0</v>
      </c>
      <c r="B56" s="144">
        <v>10.0</v>
      </c>
      <c r="C56" s="144" t="s">
        <v>452</v>
      </c>
      <c r="D56" s="144" t="s">
        <v>453</v>
      </c>
      <c r="E56" s="144" t="s">
        <v>23</v>
      </c>
      <c r="F56" s="144" t="s">
        <v>61</v>
      </c>
      <c r="G56" s="144">
        <v>23.0</v>
      </c>
      <c r="H56" s="144">
        <v>22.0</v>
      </c>
      <c r="I56" s="144">
        <v>506.0</v>
      </c>
    </row>
    <row r="57" ht="20.25" hidden="1" customHeight="1">
      <c r="A57" s="144">
        <v>2025.0</v>
      </c>
      <c r="B57" s="144">
        <v>10.0</v>
      </c>
      <c r="C57" s="144" t="s">
        <v>452</v>
      </c>
      <c r="D57" s="144" t="s">
        <v>453</v>
      </c>
      <c r="E57" s="144" t="s">
        <v>44</v>
      </c>
      <c r="F57" s="144" t="s">
        <v>61</v>
      </c>
      <c r="G57" s="144">
        <v>23.0</v>
      </c>
      <c r="H57" s="144">
        <v>17.0</v>
      </c>
      <c r="I57" s="144">
        <v>391.0</v>
      </c>
    </row>
    <row r="58" ht="20.25" hidden="1" customHeight="1">
      <c r="A58" s="144">
        <v>2025.0</v>
      </c>
      <c r="B58" s="144">
        <v>11.0</v>
      </c>
      <c r="C58" s="144" t="s">
        <v>452</v>
      </c>
      <c r="D58" s="144" t="s">
        <v>453</v>
      </c>
      <c r="E58" s="144" t="s">
        <v>23</v>
      </c>
      <c r="F58" s="144" t="s">
        <v>61</v>
      </c>
      <c r="G58" s="144">
        <v>19.0</v>
      </c>
      <c r="H58" s="144">
        <v>22.0</v>
      </c>
      <c r="I58" s="144">
        <v>418.0</v>
      </c>
    </row>
    <row r="59" ht="20.25" hidden="1" customHeight="1">
      <c r="A59" s="144">
        <v>2025.0</v>
      </c>
      <c r="B59" s="144">
        <v>11.0</v>
      </c>
      <c r="C59" s="144" t="s">
        <v>452</v>
      </c>
      <c r="D59" s="144" t="s">
        <v>453</v>
      </c>
      <c r="E59" s="144" t="s">
        <v>44</v>
      </c>
      <c r="F59" s="144" t="s">
        <v>61</v>
      </c>
      <c r="G59" s="144">
        <v>19.0</v>
      </c>
      <c r="H59" s="144">
        <v>17.0</v>
      </c>
      <c r="I59" s="144">
        <v>323.0</v>
      </c>
    </row>
    <row r="60" ht="20.25" hidden="1" customHeight="1">
      <c r="A60" s="144">
        <v>2025.0</v>
      </c>
      <c r="B60" s="144">
        <v>12.0</v>
      </c>
      <c r="C60" s="144" t="s">
        <v>452</v>
      </c>
      <c r="D60" s="144" t="s">
        <v>453</v>
      </c>
      <c r="E60" s="144" t="s">
        <v>23</v>
      </c>
      <c r="F60" s="144" t="s">
        <v>61</v>
      </c>
      <c r="G60" s="144">
        <v>22.0</v>
      </c>
      <c r="H60" s="144">
        <v>22.0</v>
      </c>
      <c r="I60" s="144">
        <v>484.0</v>
      </c>
    </row>
    <row r="61" ht="20.25" hidden="1" customHeight="1">
      <c r="A61" s="144">
        <v>2025.0</v>
      </c>
      <c r="B61" s="144">
        <v>12.0</v>
      </c>
      <c r="C61" s="144" t="s">
        <v>452</v>
      </c>
      <c r="D61" s="144" t="s">
        <v>453</v>
      </c>
      <c r="E61" s="144" t="s">
        <v>44</v>
      </c>
      <c r="F61" s="144" t="s">
        <v>61</v>
      </c>
      <c r="G61" s="144">
        <v>22.0</v>
      </c>
      <c r="H61" s="144">
        <v>17.0</v>
      </c>
      <c r="I61" s="144">
        <v>374.0</v>
      </c>
    </row>
    <row r="62" ht="20.25" hidden="1" customHeight="1">
      <c r="A62" s="144">
        <v>2025.0</v>
      </c>
      <c r="B62" s="144">
        <v>10.0</v>
      </c>
      <c r="C62" s="144" t="s">
        <v>72</v>
      </c>
      <c r="D62" s="144" t="s">
        <v>73</v>
      </c>
      <c r="E62" s="144" t="s">
        <v>17</v>
      </c>
      <c r="F62" s="144" t="s">
        <v>61</v>
      </c>
      <c r="G62" s="144">
        <v>23.0</v>
      </c>
      <c r="H62" s="144">
        <v>6.4</v>
      </c>
      <c r="I62" s="144">
        <v>147.2</v>
      </c>
    </row>
    <row r="63" ht="20.25" hidden="1" customHeight="1">
      <c r="A63" s="144">
        <v>2025.0</v>
      </c>
      <c r="B63" s="144">
        <v>11.0</v>
      </c>
      <c r="C63" s="144" t="s">
        <v>72</v>
      </c>
      <c r="D63" s="144" t="s">
        <v>73</v>
      </c>
      <c r="E63" s="144" t="s">
        <v>17</v>
      </c>
      <c r="F63" s="144" t="s">
        <v>61</v>
      </c>
      <c r="G63" s="144">
        <v>17.0</v>
      </c>
      <c r="H63" s="144">
        <v>6.4</v>
      </c>
      <c r="I63" s="144">
        <v>108.8</v>
      </c>
    </row>
    <row r="64" ht="20.25" hidden="1" customHeight="1">
      <c r="A64" s="144">
        <v>2025.0</v>
      </c>
      <c r="B64" s="144">
        <v>12.0</v>
      </c>
      <c r="C64" s="144" t="s">
        <v>72</v>
      </c>
      <c r="D64" s="144" t="s">
        <v>73</v>
      </c>
      <c r="E64" s="144" t="s">
        <v>17</v>
      </c>
      <c r="F64" s="144" t="s">
        <v>61</v>
      </c>
      <c r="G64" s="144">
        <v>22.0</v>
      </c>
      <c r="H64" s="144">
        <v>6.4</v>
      </c>
      <c r="I64" s="144">
        <v>140.8</v>
      </c>
    </row>
    <row r="65" ht="20.25" hidden="1" customHeight="1">
      <c r="A65" s="144">
        <v>2025.0</v>
      </c>
      <c r="B65" s="144">
        <v>12.0</v>
      </c>
      <c r="C65" s="144" t="s">
        <v>89</v>
      </c>
      <c r="D65" s="144" t="s">
        <v>15</v>
      </c>
      <c r="E65" s="144" t="s">
        <v>15</v>
      </c>
      <c r="F65" s="144" t="s">
        <v>61</v>
      </c>
      <c r="G65" s="144">
        <v>15.0</v>
      </c>
      <c r="H65" s="144">
        <v>54.25</v>
      </c>
      <c r="I65" s="144">
        <v>813.75</v>
      </c>
    </row>
    <row r="66" ht="20.25" hidden="1" customHeight="1">
      <c r="A66" s="144">
        <v>2025.0</v>
      </c>
      <c r="B66" s="144">
        <v>10.0</v>
      </c>
      <c r="C66" s="144" t="s">
        <v>124</v>
      </c>
      <c r="D66" s="144" t="s">
        <v>125</v>
      </c>
      <c r="E66" s="144" t="s">
        <v>15</v>
      </c>
      <c r="F66" s="144" t="s">
        <v>61</v>
      </c>
      <c r="G66" s="144">
        <v>22.0</v>
      </c>
      <c r="H66" s="144">
        <v>48.6</v>
      </c>
      <c r="I66" s="144">
        <v>1069.2</v>
      </c>
    </row>
    <row r="67" ht="20.25" hidden="1" customHeight="1">
      <c r="A67" s="144">
        <v>2025.0</v>
      </c>
      <c r="B67" s="144">
        <v>11.0</v>
      </c>
      <c r="C67" s="144" t="s">
        <v>124</v>
      </c>
      <c r="D67" s="144" t="s">
        <v>125</v>
      </c>
      <c r="E67" s="144" t="s">
        <v>15</v>
      </c>
      <c r="F67" s="144" t="s">
        <v>61</v>
      </c>
      <c r="G67" s="144">
        <v>19.0</v>
      </c>
      <c r="H67" s="144">
        <v>48.6</v>
      </c>
      <c r="I67" s="144">
        <v>923.4</v>
      </c>
    </row>
    <row r="68" ht="20.25" hidden="1" customHeight="1">
      <c r="A68" s="144">
        <v>2025.0</v>
      </c>
      <c r="B68" s="144">
        <v>12.0</v>
      </c>
      <c r="C68" s="144" t="s">
        <v>124</v>
      </c>
      <c r="D68" s="144" t="s">
        <v>125</v>
      </c>
      <c r="E68" s="144" t="s">
        <v>15</v>
      </c>
      <c r="F68" s="144" t="s">
        <v>61</v>
      </c>
      <c r="G68" s="144">
        <v>3.0</v>
      </c>
      <c r="H68" s="144">
        <v>48.6</v>
      </c>
      <c r="I68" s="144">
        <v>145.8</v>
      </c>
    </row>
    <row r="69" ht="20.25" hidden="1" customHeight="1">
      <c r="A69" s="144">
        <v>2025.0</v>
      </c>
      <c r="B69" s="144">
        <v>10.0</v>
      </c>
      <c r="C69" s="144" t="s">
        <v>454</v>
      </c>
      <c r="D69" s="144" t="s">
        <v>455</v>
      </c>
      <c r="E69" s="144" t="s">
        <v>28</v>
      </c>
      <c r="F69" s="144" t="s">
        <v>61</v>
      </c>
      <c r="G69" s="144">
        <v>3.0</v>
      </c>
      <c r="H69" s="144">
        <v>13.4</v>
      </c>
      <c r="I69" s="144">
        <v>40.2</v>
      </c>
    </row>
    <row r="70" ht="20.25" hidden="1" customHeight="1">
      <c r="A70" s="144">
        <v>2025.0</v>
      </c>
      <c r="B70" s="144">
        <v>10.0</v>
      </c>
      <c r="C70" s="144" t="s">
        <v>454</v>
      </c>
      <c r="D70" s="144" t="s">
        <v>455</v>
      </c>
      <c r="E70" s="144" t="s">
        <v>28</v>
      </c>
      <c r="F70" s="144" t="s">
        <v>61</v>
      </c>
      <c r="G70" s="144">
        <v>14.0</v>
      </c>
      <c r="H70" s="144">
        <v>13.4</v>
      </c>
      <c r="I70" s="144">
        <v>187.6</v>
      </c>
    </row>
    <row r="71" ht="20.25" hidden="1" customHeight="1">
      <c r="A71" s="144">
        <v>2025.0</v>
      </c>
      <c r="B71" s="144">
        <v>11.0</v>
      </c>
      <c r="C71" s="144" t="s">
        <v>454</v>
      </c>
      <c r="D71" s="144" t="s">
        <v>455</v>
      </c>
      <c r="E71" s="144" t="s">
        <v>28</v>
      </c>
      <c r="F71" s="144" t="s">
        <v>61</v>
      </c>
      <c r="G71" s="144">
        <v>13.0</v>
      </c>
      <c r="H71" s="144">
        <v>13.4</v>
      </c>
      <c r="I71" s="144">
        <v>174.2</v>
      </c>
    </row>
    <row r="72" ht="20.25" hidden="1" customHeight="1">
      <c r="A72" s="144">
        <v>2025.0</v>
      </c>
      <c r="B72" s="144">
        <v>12.0</v>
      </c>
      <c r="C72" s="144" t="s">
        <v>454</v>
      </c>
      <c r="D72" s="144" t="s">
        <v>455</v>
      </c>
      <c r="E72" s="144" t="s">
        <v>28</v>
      </c>
      <c r="F72" s="144" t="s">
        <v>61</v>
      </c>
      <c r="G72" s="144">
        <v>15.0</v>
      </c>
      <c r="H72" s="144">
        <v>13.4</v>
      </c>
      <c r="I72" s="144">
        <v>201.0</v>
      </c>
    </row>
    <row r="73" ht="20.25" hidden="1" customHeight="1">
      <c r="A73" s="144">
        <v>2025.0</v>
      </c>
      <c r="B73" s="144">
        <v>10.0</v>
      </c>
      <c r="C73" s="144" t="s">
        <v>456</v>
      </c>
      <c r="D73" s="144" t="s">
        <v>17</v>
      </c>
      <c r="E73" s="144" t="s">
        <v>17</v>
      </c>
      <c r="F73" s="144" t="s">
        <v>61</v>
      </c>
      <c r="G73" s="144">
        <v>22.0</v>
      </c>
      <c r="H73" s="144">
        <v>18.0</v>
      </c>
      <c r="I73" s="144">
        <v>396.0</v>
      </c>
    </row>
    <row r="74" ht="20.25" hidden="1" customHeight="1">
      <c r="A74" s="144">
        <v>2025.0</v>
      </c>
      <c r="B74" s="144">
        <v>11.0</v>
      </c>
      <c r="C74" s="144" t="s">
        <v>456</v>
      </c>
      <c r="D74" s="144" t="s">
        <v>17</v>
      </c>
      <c r="E74" s="144" t="s">
        <v>17</v>
      </c>
      <c r="F74" s="144" t="s">
        <v>61</v>
      </c>
      <c r="G74" s="144">
        <v>19.0</v>
      </c>
      <c r="H74" s="144">
        <v>18.0</v>
      </c>
      <c r="I74" s="144">
        <v>342.0</v>
      </c>
    </row>
    <row r="75" ht="20.25" hidden="1" customHeight="1">
      <c r="A75" s="144">
        <v>2025.0</v>
      </c>
      <c r="B75" s="144">
        <v>12.0</v>
      </c>
      <c r="C75" s="144" t="s">
        <v>456</v>
      </c>
      <c r="D75" s="144" t="s">
        <v>17</v>
      </c>
      <c r="E75" s="144" t="s">
        <v>17</v>
      </c>
      <c r="F75" s="144" t="s">
        <v>61</v>
      </c>
      <c r="G75" s="144">
        <v>18.0</v>
      </c>
      <c r="H75" s="144">
        <v>18.0</v>
      </c>
      <c r="I75" s="144">
        <v>324.0</v>
      </c>
    </row>
    <row r="76" ht="20.25" hidden="1" customHeight="1">
      <c r="A76" s="144">
        <v>2025.0</v>
      </c>
      <c r="B76" s="144">
        <v>10.0</v>
      </c>
      <c r="C76" s="144" t="s">
        <v>457</v>
      </c>
      <c r="D76" s="144" t="s">
        <v>98</v>
      </c>
      <c r="E76" s="144" t="s">
        <v>17</v>
      </c>
      <c r="F76" s="144" t="s">
        <v>61</v>
      </c>
      <c r="G76" s="144">
        <v>18.0</v>
      </c>
      <c r="H76" s="144">
        <v>22.2</v>
      </c>
      <c r="I76" s="144">
        <v>399.6</v>
      </c>
    </row>
    <row r="77" ht="20.25" hidden="1" customHeight="1">
      <c r="A77" s="144">
        <v>2025.0</v>
      </c>
      <c r="B77" s="144">
        <v>11.0</v>
      </c>
      <c r="C77" s="144" t="s">
        <v>457</v>
      </c>
      <c r="D77" s="144" t="s">
        <v>98</v>
      </c>
      <c r="E77" s="144" t="s">
        <v>17</v>
      </c>
      <c r="F77" s="144" t="s">
        <v>61</v>
      </c>
      <c r="G77" s="144">
        <v>18.0</v>
      </c>
      <c r="H77" s="144">
        <v>22.2</v>
      </c>
      <c r="I77" s="144">
        <v>399.6</v>
      </c>
    </row>
    <row r="78" ht="20.25" hidden="1" customHeight="1">
      <c r="A78" s="144">
        <v>2025.0</v>
      </c>
      <c r="B78" s="144">
        <v>12.0</v>
      </c>
      <c r="C78" s="144" t="s">
        <v>457</v>
      </c>
      <c r="D78" s="144" t="s">
        <v>98</v>
      </c>
      <c r="E78" s="144" t="s">
        <v>17</v>
      </c>
      <c r="F78" s="144" t="s">
        <v>61</v>
      </c>
      <c r="G78" s="144">
        <v>17.0</v>
      </c>
      <c r="H78" s="144">
        <v>22.2</v>
      </c>
      <c r="I78" s="144">
        <v>377.4</v>
      </c>
    </row>
    <row r="79" ht="20.25" hidden="1" customHeight="1">
      <c r="A79" s="144">
        <v>2025.0</v>
      </c>
      <c r="B79" s="144">
        <v>10.0</v>
      </c>
      <c r="C79" s="144" t="s">
        <v>458</v>
      </c>
      <c r="D79" s="144" t="s">
        <v>110</v>
      </c>
      <c r="E79" s="144" t="s">
        <v>17</v>
      </c>
      <c r="F79" s="144" t="s">
        <v>61</v>
      </c>
      <c r="G79" s="144">
        <v>23.0</v>
      </c>
      <c r="H79" s="144">
        <v>14.4</v>
      </c>
      <c r="I79" s="144">
        <v>331.2</v>
      </c>
    </row>
    <row r="80" ht="20.25" hidden="1" customHeight="1">
      <c r="A80" s="144">
        <v>2025.0</v>
      </c>
      <c r="B80" s="144">
        <v>11.0</v>
      </c>
      <c r="C80" s="144" t="s">
        <v>458</v>
      </c>
      <c r="D80" s="144" t="s">
        <v>110</v>
      </c>
      <c r="E80" s="144" t="s">
        <v>17</v>
      </c>
      <c r="F80" s="144" t="s">
        <v>61</v>
      </c>
      <c r="G80" s="144">
        <v>16.5</v>
      </c>
      <c r="H80" s="144">
        <v>14.4</v>
      </c>
      <c r="I80" s="144">
        <v>237.6</v>
      </c>
    </row>
    <row r="81" ht="20.25" hidden="1" customHeight="1">
      <c r="A81" s="144">
        <v>2025.0</v>
      </c>
      <c r="B81" s="144">
        <v>12.0</v>
      </c>
      <c r="C81" s="144" t="s">
        <v>458</v>
      </c>
      <c r="D81" s="144" t="s">
        <v>110</v>
      </c>
      <c r="E81" s="144" t="s">
        <v>17</v>
      </c>
      <c r="F81" s="144" t="s">
        <v>61</v>
      </c>
      <c r="G81" s="144">
        <v>18.0</v>
      </c>
      <c r="H81" s="144">
        <v>14.4</v>
      </c>
      <c r="I81" s="144">
        <v>259.2</v>
      </c>
    </row>
    <row r="82" ht="20.25" hidden="1" customHeight="1">
      <c r="A82" s="144">
        <v>2025.0</v>
      </c>
      <c r="B82" s="144">
        <v>10.0</v>
      </c>
      <c r="C82" s="144" t="s">
        <v>111</v>
      </c>
      <c r="D82" s="144" t="s">
        <v>112</v>
      </c>
      <c r="E82" s="144" t="s">
        <v>26</v>
      </c>
      <c r="F82" s="144" t="s">
        <v>61</v>
      </c>
      <c r="G82" s="144">
        <v>21.5</v>
      </c>
      <c r="H82" s="144">
        <v>17.9</v>
      </c>
      <c r="I82" s="144">
        <v>384.85</v>
      </c>
    </row>
    <row r="83" ht="20.25" hidden="1" customHeight="1">
      <c r="A83" s="144">
        <v>2025.0</v>
      </c>
      <c r="B83" s="144">
        <v>11.0</v>
      </c>
      <c r="C83" s="144" t="s">
        <v>111</v>
      </c>
      <c r="D83" s="144" t="s">
        <v>112</v>
      </c>
      <c r="E83" s="144" t="s">
        <v>26</v>
      </c>
      <c r="F83" s="144" t="s">
        <v>61</v>
      </c>
      <c r="G83" s="144">
        <v>14.0</v>
      </c>
      <c r="H83" s="144">
        <v>17.9</v>
      </c>
      <c r="I83" s="144">
        <v>250.6</v>
      </c>
    </row>
    <row r="84" ht="20.25" hidden="1" customHeight="1">
      <c r="A84" s="144">
        <v>2025.0</v>
      </c>
      <c r="B84" s="144">
        <v>12.0</v>
      </c>
      <c r="C84" s="144" t="s">
        <v>111</v>
      </c>
      <c r="D84" s="144" t="s">
        <v>112</v>
      </c>
      <c r="E84" s="144" t="s">
        <v>26</v>
      </c>
      <c r="F84" s="144" t="s">
        <v>61</v>
      </c>
      <c r="G84" s="144">
        <v>15.5</v>
      </c>
      <c r="H84" s="144">
        <v>17.9</v>
      </c>
      <c r="I84" s="144">
        <v>277.45</v>
      </c>
    </row>
    <row r="85" ht="20.25" hidden="1" customHeight="1">
      <c r="A85" s="144">
        <v>2025.0</v>
      </c>
      <c r="B85" s="144">
        <v>10.0</v>
      </c>
      <c r="C85" s="144" t="s">
        <v>115</v>
      </c>
      <c r="D85" s="144" t="s">
        <v>116</v>
      </c>
      <c r="E85" s="144" t="s">
        <v>28</v>
      </c>
      <c r="F85" s="144" t="s">
        <v>61</v>
      </c>
      <c r="G85" s="144">
        <v>23.0</v>
      </c>
      <c r="H85" s="144">
        <v>12.5</v>
      </c>
      <c r="I85" s="144">
        <v>287.5</v>
      </c>
    </row>
    <row r="86" ht="20.25" hidden="1" customHeight="1">
      <c r="A86" s="144">
        <v>2025.0</v>
      </c>
      <c r="B86" s="144">
        <v>11.0</v>
      </c>
      <c r="C86" s="144" t="s">
        <v>115</v>
      </c>
      <c r="D86" s="144" t="s">
        <v>116</v>
      </c>
      <c r="E86" s="144" t="s">
        <v>28</v>
      </c>
      <c r="F86" s="144" t="s">
        <v>61</v>
      </c>
      <c r="G86" s="144">
        <v>18.0</v>
      </c>
      <c r="H86" s="144">
        <v>12.5</v>
      </c>
      <c r="I86" s="144">
        <v>225.0</v>
      </c>
    </row>
    <row r="87" ht="20.25" hidden="1" customHeight="1">
      <c r="A87" s="144">
        <v>2025.0</v>
      </c>
      <c r="B87" s="144">
        <v>12.0</v>
      </c>
      <c r="C87" s="144" t="s">
        <v>115</v>
      </c>
      <c r="D87" s="144" t="s">
        <v>116</v>
      </c>
      <c r="E87" s="144" t="s">
        <v>28</v>
      </c>
      <c r="F87" s="144" t="s">
        <v>61</v>
      </c>
      <c r="G87" s="144">
        <v>15.0</v>
      </c>
      <c r="H87" s="144">
        <v>12.5</v>
      </c>
      <c r="I87" s="144">
        <v>187.5</v>
      </c>
    </row>
    <row r="88" ht="20.25" hidden="1" customHeight="1">
      <c r="A88" s="144">
        <v>2025.0</v>
      </c>
      <c r="B88" s="144">
        <v>10.0</v>
      </c>
      <c r="C88" s="144" t="s">
        <v>121</v>
      </c>
      <c r="D88" s="144" t="s">
        <v>120</v>
      </c>
      <c r="E88" s="144" t="s">
        <v>22</v>
      </c>
      <c r="F88" s="144" t="s">
        <v>61</v>
      </c>
      <c r="G88" s="144">
        <v>4.0</v>
      </c>
      <c r="H88" s="144">
        <v>51.5</v>
      </c>
      <c r="I88" s="144">
        <v>206.0</v>
      </c>
    </row>
    <row r="89" ht="20.25" hidden="1" customHeight="1">
      <c r="A89" s="144">
        <v>2025.0</v>
      </c>
      <c r="B89" s="144">
        <v>10.0</v>
      </c>
      <c r="C89" s="144" t="s">
        <v>121</v>
      </c>
      <c r="D89" s="144" t="s">
        <v>120</v>
      </c>
      <c r="E89" s="144" t="s">
        <v>26</v>
      </c>
      <c r="F89" s="144" t="s">
        <v>61</v>
      </c>
      <c r="G89" s="144">
        <v>4.0</v>
      </c>
      <c r="H89" s="144">
        <v>12.9</v>
      </c>
      <c r="I89" s="144">
        <v>51.6</v>
      </c>
    </row>
    <row r="90" ht="20.25" hidden="1" customHeight="1">
      <c r="A90" s="144">
        <v>2025.0</v>
      </c>
      <c r="B90" s="144">
        <v>12.0</v>
      </c>
      <c r="C90" s="144" t="s">
        <v>119</v>
      </c>
      <c r="D90" s="144" t="s">
        <v>120</v>
      </c>
      <c r="E90" s="144" t="s">
        <v>22</v>
      </c>
      <c r="F90" s="144" t="s">
        <v>61</v>
      </c>
      <c r="G90" s="144">
        <v>12.0</v>
      </c>
      <c r="H90" s="144">
        <v>35.9</v>
      </c>
      <c r="I90" s="144">
        <v>430.8</v>
      </c>
    </row>
    <row r="91" ht="20.25" hidden="1" customHeight="1">
      <c r="A91" s="144">
        <v>2025.0</v>
      </c>
      <c r="B91" s="144">
        <v>12.0</v>
      </c>
      <c r="C91" s="144" t="s">
        <v>121</v>
      </c>
      <c r="D91" s="144" t="s">
        <v>120</v>
      </c>
      <c r="E91" s="144" t="s">
        <v>22</v>
      </c>
      <c r="F91" s="144" t="s">
        <v>61</v>
      </c>
      <c r="G91" s="144">
        <v>2.0</v>
      </c>
      <c r="H91" s="144">
        <v>51.5</v>
      </c>
      <c r="I91" s="144">
        <v>103.0</v>
      </c>
    </row>
    <row r="92" ht="20.25" hidden="1" customHeight="1">
      <c r="A92" s="144">
        <v>2025.0</v>
      </c>
      <c r="B92" s="144">
        <v>12.0</v>
      </c>
      <c r="C92" s="144" t="s">
        <v>121</v>
      </c>
      <c r="D92" s="144" t="s">
        <v>120</v>
      </c>
      <c r="E92" s="144" t="s">
        <v>26</v>
      </c>
      <c r="F92" s="144" t="s">
        <v>61</v>
      </c>
      <c r="G92" s="144">
        <v>2.0</v>
      </c>
      <c r="H92" s="144">
        <v>12.9</v>
      </c>
      <c r="I92" s="144">
        <v>25.8</v>
      </c>
    </row>
    <row r="93" ht="20.25" hidden="1" customHeight="1">
      <c r="A93" s="144">
        <v>2025.0</v>
      </c>
      <c r="B93" s="144">
        <v>12.0</v>
      </c>
      <c r="C93" s="144" t="s">
        <v>124</v>
      </c>
      <c r="D93" s="144" t="s">
        <v>125</v>
      </c>
      <c r="E93" s="144" t="s">
        <v>15</v>
      </c>
      <c r="F93" s="144" t="s">
        <v>61</v>
      </c>
      <c r="G93" s="144">
        <v>15.0</v>
      </c>
      <c r="H93" s="144">
        <v>48.6</v>
      </c>
      <c r="I93" s="144">
        <v>729.0</v>
      </c>
    </row>
    <row r="94" ht="20.25" hidden="1" customHeight="1">
      <c r="A94" s="144">
        <v>2025.0</v>
      </c>
      <c r="B94" s="144">
        <v>10.0</v>
      </c>
      <c r="C94" s="144" t="s">
        <v>459</v>
      </c>
      <c r="D94" s="144" t="s">
        <v>126</v>
      </c>
      <c r="E94" s="144" t="s">
        <v>15</v>
      </c>
      <c r="F94" s="144" t="s">
        <v>61</v>
      </c>
      <c r="G94" s="144">
        <v>2.5</v>
      </c>
      <c r="H94" s="144">
        <v>17.8</v>
      </c>
      <c r="I94" s="144">
        <v>44.5</v>
      </c>
    </row>
    <row r="95" ht="20.25" hidden="1" customHeight="1">
      <c r="A95" s="144">
        <v>2025.0</v>
      </c>
      <c r="B95" s="144">
        <v>11.0</v>
      </c>
      <c r="C95" s="144" t="s">
        <v>459</v>
      </c>
      <c r="D95" s="144" t="s">
        <v>126</v>
      </c>
      <c r="E95" s="144" t="s">
        <v>15</v>
      </c>
      <c r="F95" s="144" t="s">
        <v>61</v>
      </c>
      <c r="G95" s="144">
        <v>2.5</v>
      </c>
      <c r="H95" s="144">
        <v>17.8</v>
      </c>
      <c r="I95" s="144">
        <v>44.5</v>
      </c>
    </row>
    <row r="96" ht="20.25" hidden="1" customHeight="1">
      <c r="A96" s="144">
        <v>2025.0</v>
      </c>
      <c r="B96" s="144">
        <v>10.0</v>
      </c>
      <c r="C96" s="144" t="s">
        <v>128</v>
      </c>
      <c r="D96" s="144" t="s">
        <v>129</v>
      </c>
      <c r="E96" s="144" t="s">
        <v>15</v>
      </c>
      <c r="F96" s="144" t="s">
        <v>61</v>
      </c>
      <c r="G96" s="144">
        <v>10.0</v>
      </c>
      <c r="H96" s="144">
        <v>14.4</v>
      </c>
      <c r="I96" s="144">
        <v>144.0</v>
      </c>
    </row>
    <row r="97" ht="20.25" hidden="1" customHeight="1">
      <c r="A97" s="144">
        <v>2025.0</v>
      </c>
      <c r="B97" s="144">
        <v>10.0</v>
      </c>
      <c r="C97" s="144" t="s">
        <v>460</v>
      </c>
      <c r="D97" s="144" t="s">
        <v>83</v>
      </c>
      <c r="E97" s="144" t="s">
        <v>28</v>
      </c>
      <c r="F97" s="144" t="s">
        <v>61</v>
      </c>
      <c r="G97" s="144">
        <v>1.0</v>
      </c>
      <c r="H97" s="144">
        <v>4.3</v>
      </c>
      <c r="I97" s="144">
        <v>4.3</v>
      </c>
    </row>
    <row r="98" ht="20.25" hidden="1" customHeight="1">
      <c r="A98" s="144">
        <v>2025.0</v>
      </c>
      <c r="B98" s="144">
        <v>10.0</v>
      </c>
      <c r="C98" s="144" t="s">
        <v>99</v>
      </c>
      <c r="D98" s="144" t="s">
        <v>83</v>
      </c>
      <c r="E98" s="144" t="s">
        <v>33</v>
      </c>
      <c r="F98" s="144" t="s">
        <v>61</v>
      </c>
      <c r="G98" s="144">
        <v>17.0</v>
      </c>
      <c r="H98" s="144">
        <v>42.9</v>
      </c>
      <c r="I98" s="144">
        <v>729.3</v>
      </c>
    </row>
    <row r="99" ht="20.25" hidden="1" customHeight="1">
      <c r="A99" s="144">
        <v>2025.0</v>
      </c>
      <c r="B99" s="144">
        <v>11.0</v>
      </c>
      <c r="C99" s="144" t="s">
        <v>99</v>
      </c>
      <c r="D99" s="144" t="s">
        <v>83</v>
      </c>
      <c r="E99" s="144" t="s">
        <v>33</v>
      </c>
      <c r="F99" s="144" t="s">
        <v>61</v>
      </c>
      <c r="G99" s="144">
        <v>18.0</v>
      </c>
      <c r="H99" s="144">
        <v>42.9</v>
      </c>
      <c r="I99" s="144">
        <v>772.2</v>
      </c>
    </row>
    <row r="100" ht="20.25" hidden="1" customHeight="1">
      <c r="A100" s="144">
        <v>2025.0</v>
      </c>
      <c r="B100" s="144">
        <v>12.0</v>
      </c>
      <c r="C100" s="144" t="s">
        <v>99</v>
      </c>
      <c r="D100" s="144" t="s">
        <v>83</v>
      </c>
      <c r="E100" s="144" t="s">
        <v>33</v>
      </c>
      <c r="F100" s="144" t="s">
        <v>61</v>
      </c>
      <c r="G100" s="144">
        <v>4.0</v>
      </c>
      <c r="H100" s="144">
        <v>42.9</v>
      </c>
      <c r="I100" s="144">
        <v>171.6</v>
      </c>
    </row>
    <row r="101" ht="20.25" hidden="1" customHeight="1">
      <c r="A101" s="144">
        <v>2025.0</v>
      </c>
      <c r="B101" s="144">
        <v>12.0</v>
      </c>
      <c r="C101" s="144" t="s">
        <v>99</v>
      </c>
      <c r="D101" s="144" t="s">
        <v>83</v>
      </c>
      <c r="E101" s="144" t="s">
        <v>33</v>
      </c>
      <c r="F101" s="144" t="s">
        <v>61</v>
      </c>
      <c r="G101" s="144">
        <v>15.5</v>
      </c>
      <c r="H101" s="144">
        <v>42.9</v>
      </c>
      <c r="I101" s="144">
        <v>664.95</v>
      </c>
    </row>
    <row r="102" ht="20.25" hidden="1" customHeight="1">
      <c r="A102" s="144">
        <v>2025.0</v>
      </c>
      <c r="B102" s="144">
        <v>10.0</v>
      </c>
      <c r="C102" s="144" t="s">
        <v>114</v>
      </c>
      <c r="D102" s="144" t="s">
        <v>101</v>
      </c>
      <c r="E102" s="144" t="s">
        <v>17</v>
      </c>
      <c r="F102" s="144" t="s">
        <v>61</v>
      </c>
      <c r="G102" s="144">
        <v>21.0</v>
      </c>
      <c r="H102" s="144">
        <v>29.2</v>
      </c>
      <c r="I102" s="144">
        <v>613.2</v>
      </c>
    </row>
    <row r="103" ht="20.25" hidden="1" customHeight="1">
      <c r="A103" s="144">
        <v>2025.0</v>
      </c>
      <c r="B103" s="144">
        <v>11.0</v>
      </c>
      <c r="C103" s="144" t="s">
        <v>114</v>
      </c>
      <c r="D103" s="144" t="s">
        <v>101</v>
      </c>
      <c r="E103" s="144" t="s">
        <v>17</v>
      </c>
      <c r="F103" s="144" t="s">
        <v>61</v>
      </c>
      <c r="G103" s="144">
        <v>16.5</v>
      </c>
      <c r="H103" s="144">
        <v>29.2</v>
      </c>
      <c r="I103" s="144">
        <v>481.8</v>
      </c>
    </row>
    <row r="104" ht="20.25" hidden="1" customHeight="1">
      <c r="A104" s="144">
        <v>2025.0</v>
      </c>
      <c r="B104" s="144">
        <v>12.0</v>
      </c>
      <c r="C104" s="144" t="s">
        <v>114</v>
      </c>
      <c r="D104" s="144" t="s">
        <v>101</v>
      </c>
      <c r="E104" s="144" t="s">
        <v>17</v>
      </c>
      <c r="F104" s="144" t="s">
        <v>61</v>
      </c>
      <c r="G104" s="144">
        <v>16.5</v>
      </c>
      <c r="H104" s="144">
        <v>29.2</v>
      </c>
      <c r="I104" s="144">
        <v>481.8</v>
      </c>
    </row>
    <row r="105" ht="20.25" hidden="1" customHeight="1">
      <c r="A105" s="144">
        <v>2025.0</v>
      </c>
      <c r="B105" s="144">
        <v>10.0</v>
      </c>
      <c r="C105" s="144" t="s">
        <v>117</v>
      </c>
      <c r="D105" s="144" t="s">
        <v>118</v>
      </c>
      <c r="E105" s="144" t="s">
        <v>17</v>
      </c>
      <c r="F105" s="144" t="s">
        <v>61</v>
      </c>
      <c r="G105" s="144">
        <v>22.0</v>
      </c>
      <c r="H105" s="144">
        <v>9.8</v>
      </c>
      <c r="I105" s="144">
        <v>215.6</v>
      </c>
    </row>
    <row r="106" ht="20.25" hidden="1" customHeight="1">
      <c r="A106" s="144">
        <v>2025.0</v>
      </c>
      <c r="B106" s="144">
        <v>11.0</v>
      </c>
      <c r="C106" s="144" t="s">
        <v>117</v>
      </c>
      <c r="D106" s="144" t="s">
        <v>118</v>
      </c>
      <c r="E106" s="144" t="s">
        <v>17</v>
      </c>
      <c r="F106" s="144" t="s">
        <v>61</v>
      </c>
      <c r="G106" s="144">
        <v>14.0</v>
      </c>
      <c r="H106" s="144">
        <v>9.8</v>
      </c>
      <c r="I106" s="144">
        <v>137.2</v>
      </c>
    </row>
    <row r="107" ht="20.25" hidden="1" customHeight="1">
      <c r="A107" s="144">
        <v>2025.0</v>
      </c>
      <c r="B107" s="144">
        <v>12.0</v>
      </c>
      <c r="C107" s="144" t="s">
        <v>117</v>
      </c>
      <c r="D107" s="144" t="s">
        <v>118</v>
      </c>
      <c r="E107" s="144" t="s">
        <v>17</v>
      </c>
      <c r="F107" s="144" t="s">
        <v>61</v>
      </c>
      <c r="G107" s="144">
        <v>10.0</v>
      </c>
      <c r="H107" s="144">
        <v>9.8</v>
      </c>
      <c r="I107" s="144">
        <v>98.0</v>
      </c>
    </row>
    <row r="108" ht="20.25" hidden="1" customHeight="1">
      <c r="A108" s="144">
        <v>2025.0</v>
      </c>
      <c r="B108" s="144">
        <v>12.0</v>
      </c>
      <c r="C108" s="144" t="s">
        <v>122</v>
      </c>
      <c r="D108" s="144" t="s">
        <v>123</v>
      </c>
      <c r="E108" s="144" t="s">
        <v>17</v>
      </c>
      <c r="F108" s="144" t="s">
        <v>61</v>
      </c>
      <c r="G108" s="144">
        <v>20.0</v>
      </c>
      <c r="H108" s="144">
        <v>2.5</v>
      </c>
      <c r="I108" s="144">
        <v>50.0</v>
      </c>
    </row>
    <row r="109" ht="20.25" hidden="1" customHeight="1">
      <c r="A109" s="144">
        <v>2025.0</v>
      </c>
      <c r="B109" s="144">
        <v>10.0</v>
      </c>
      <c r="C109" s="144" t="s">
        <v>132</v>
      </c>
      <c r="D109" s="144" t="s">
        <v>133</v>
      </c>
      <c r="E109" s="144" t="s">
        <v>28</v>
      </c>
      <c r="F109" s="144" t="s">
        <v>61</v>
      </c>
      <c r="G109" s="144">
        <v>23.0</v>
      </c>
      <c r="H109" s="144">
        <v>2.8</v>
      </c>
      <c r="I109" s="144">
        <v>64.4</v>
      </c>
    </row>
    <row r="110" ht="20.25" hidden="1" customHeight="1">
      <c r="A110" s="144">
        <v>2025.0</v>
      </c>
      <c r="B110" s="144">
        <v>11.0</v>
      </c>
      <c r="C110" s="144" t="s">
        <v>132</v>
      </c>
      <c r="D110" s="144" t="s">
        <v>133</v>
      </c>
      <c r="E110" s="144" t="s">
        <v>28</v>
      </c>
      <c r="F110" s="144" t="s">
        <v>61</v>
      </c>
      <c r="G110" s="144">
        <v>15.5</v>
      </c>
      <c r="H110" s="144">
        <v>2.8</v>
      </c>
      <c r="I110" s="144">
        <v>43.4</v>
      </c>
    </row>
    <row r="111" ht="20.25" hidden="1" customHeight="1">
      <c r="A111" s="144">
        <v>2025.0</v>
      </c>
      <c r="B111" s="144">
        <v>12.0</v>
      </c>
      <c r="C111" s="144" t="s">
        <v>132</v>
      </c>
      <c r="D111" s="144" t="s">
        <v>133</v>
      </c>
      <c r="E111" s="144" t="s">
        <v>28</v>
      </c>
      <c r="F111" s="144" t="s">
        <v>61</v>
      </c>
      <c r="G111" s="144">
        <v>17.0</v>
      </c>
      <c r="H111" s="144">
        <v>2.8</v>
      </c>
      <c r="I111" s="144">
        <v>47.6</v>
      </c>
    </row>
    <row r="112" ht="20.25" hidden="1" customHeight="1">
      <c r="A112" s="144">
        <v>2025.0</v>
      </c>
      <c r="B112" s="144">
        <v>11.0</v>
      </c>
      <c r="C112" s="144" t="s">
        <v>128</v>
      </c>
      <c r="D112" s="144" t="s">
        <v>129</v>
      </c>
      <c r="E112" s="144" t="s">
        <v>15</v>
      </c>
      <c r="F112" s="144" t="s">
        <v>61</v>
      </c>
      <c r="G112" s="144">
        <v>6.0</v>
      </c>
      <c r="H112" s="144">
        <v>14.4</v>
      </c>
      <c r="I112" s="144">
        <v>86.4</v>
      </c>
    </row>
    <row r="113" ht="20.25" hidden="1" customHeight="1">
      <c r="A113" s="144">
        <v>2025.0</v>
      </c>
      <c r="B113" s="144">
        <v>10.0</v>
      </c>
      <c r="C113" s="144" t="s">
        <v>461</v>
      </c>
      <c r="D113" s="144" t="s">
        <v>126</v>
      </c>
      <c r="E113" s="144" t="s">
        <v>28</v>
      </c>
      <c r="F113" s="144" t="s">
        <v>61</v>
      </c>
      <c r="G113" s="144">
        <v>19.5</v>
      </c>
      <c r="H113" s="144">
        <v>2.1</v>
      </c>
      <c r="I113" s="144">
        <v>40.95</v>
      </c>
    </row>
    <row r="114" ht="20.25" hidden="1" customHeight="1">
      <c r="A114" s="144">
        <v>2025.0</v>
      </c>
      <c r="B114" s="144">
        <v>10.0</v>
      </c>
      <c r="C114" s="144" t="s">
        <v>459</v>
      </c>
      <c r="D114" s="144" t="s">
        <v>126</v>
      </c>
      <c r="E114" s="144" t="s">
        <v>35</v>
      </c>
      <c r="F114" s="144" t="s">
        <v>61</v>
      </c>
      <c r="G114" s="144">
        <v>2.5</v>
      </c>
      <c r="H114" s="144">
        <v>4.1</v>
      </c>
      <c r="I114" s="144">
        <v>10.25</v>
      </c>
    </row>
    <row r="115" ht="20.25" hidden="1" customHeight="1">
      <c r="A115" s="144">
        <v>2025.0</v>
      </c>
      <c r="B115" s="144">
        <v>12.0</v>
      </c>
      <c r="C115" s="144" t="s">
        <v>128</v>
      </c>
      <c r="D115" s="144" t="s">
        <v>129</v>
      </c>
      <c r="E115" s="144" t="s">
        <v>15</v>
      </c>
      <c r="F115" s="144" t="s">
        <v>61</v>
      </c>
      <c r="G115" s="144">
        <v>20.0</v>
      </c>
      <c r="H115" s="144">
        <v>14.4</v>
      </c>
      <c r="I115" s="144">
        <v>288.0</v>
      </c>
    </row>
    <row r="116" ht="20.25" hidden="1" customHeight="1">
      <c r="A116" s="144">
        <v>2025.0</v>
      </c>
      <c r="B116" s="144">
        <v>11.0</v>
      </c>
      <c r="C116" s="144" t="s">
        <v>62</v>
      </c>
      <c r="D116" s="144" t="s">
        <v>63</v>
      </c>
      <c r="E116" s="144" t="s">
        <v>15</v>
      </c>
      <c r="F116" s="144" t="s">
        <v>61</v>
      </c>
      <c r="G116" s="144">
        <v>4.0</v>
      </c>
      <c r="H116" s="144">
        <v>33.2</v>
      </c>
      <c r="I116" s="144">
        <v>132.8</v>
      </c>
    </row>
    <row r="117" ht="20.25" hidden="1" customHeight="1">
      <c r="A117" s="144">
        <v>2025.0</v>
      </c>
      <c r="B117" s="144">
        <v>11.0</v>
      </c>
      <c r="C117" s="144" t="s">
        <v>461</v>
      </c>
      <c r="D117" s="144" t="s">
        <v>126</v>
      </c>
      <c r="E117" s="144" t="s">
        <v>28</v>
      </c>
      <c r="F117" s="144" t="s">
        <v>61</v>
      </c>
      <c r="G117" s="144">
        <v>11.0</v>
      </c>
      <c r="H117" s="144">
        <v>2.1</v>
      </c>
      <c r="I117" s="144">
        <v>23.1</v>
      </c>
    </row>
    <row r="118" ht="20.25" hidden="1" customHeight="1">
      <c r="A118" s="144">
        <v>2025.0</v>
      </c>
      <c r="B118" s="144">
        <v>11.0</v>
      </c>
      <c r="C118" s="144" t="s">
        <v>459</v>
      </c>
      <c r="D118" s="144" t="s">
        <v>126</v>
      </c>
      <c r="E118" s="144" t="s">
        <v>35</v>
      </c>
      <c r="F118" s="144" t="s">
        <v>61</v>
      </c>
      <c r="G118" s="144">
        <v>2.5</v>
      </c>
      <c r="H118" s="144">
        <v>4.1</v>
      </c>
      <c r="I118" s="144">
        <v>10.25</v>
      </c>
    </row>
    <row r="119" ht="20.25" hidden="1" customHeight="1">
      <c r="A119" s="144">
        <v>2025.0</v>
      </c>
      <c r="B119" s="144">
        <v>11.0</v>
      </c>
      <c r="C119" s="144" t="s">
        <v>62</v>
      </c>
      <c r="D119" s="144" t="s">
        <v>126</v>
      </c>
      <c r="E119" s="144" t="s">
        <v>35</v>
      </c>
      <c r="F119" s="144" t="s">
        <v>61</v>
      </c>
      <c r="G119" s="144">
        <v>9.0</v>
      </c>
      <c r="H119" s="144">
        <v>4.1</v>
      </c>
      <c r="I119" s="144">
        <v>36.9</v>
      </c>
    </row>
    <row r="120" ht="20.25" hidden="1" customHeight="1">
      <c r="A120" s="144">
        <v>2025.0</v>
      </c>
      <c r="B120" s="144">
        <v>12.0</v>
      </c>
      <c r="C120" s="144" t="s">
        <v>62</v>
      </c>
      <c r="D120" s="144" t="s">
        <v>63</v>
      </c>
      <c r="E120" s="144" t="s">
        <v>15</v>
      </c>
      <c r="F120" s="144" t="s">
        <v>61</v>
      </c>
      <c r="G120" s="144">
        <v>15.0</v>
      </c>
      <c r="H120" s="144">
        <v>33.2</v>
      </c>
      <c r="I120" s="144">
        <v>498.0</v>
      </c>
    </row>
    <row r="121" ht="20.25" hidden="1" customHeight="1">
      <c r="A121" s="144">
        <v>2025.0</v>
      </c>
      <c r="B121" s="144">
        <v>12.0</v>
      </c>
      <c r="C121" s="144" t="s">
        <v>62</v>
      </c>
      <c r="D121" s="144" t="s">
        <v>126</v>
      </c>
      <c r="E121" s="144" t="s">
        <v>35</v>
      </c>
      <c r="F121" s="144" t="s">
        <v>61</v>
      </c>
      <c r="G121" s="144">
        <v>15.0</v>
      </c>
      <c r="H121" s="144">
        <v>4.1</v>
      </c>
      <c r="I121" s="144">
        <v>61.5</v>
      </c>
    </row>
    <row r="122" ht="20.25" hidden="1" customHeight="1">
      <c r="A122" s="144">
        <v>2025.0</v>
      </c>
      <c r="B122" s="144">
        <v>12.0</v>
      </c>
      <c r="C122" s="144" t="s">
        <v>62</v>
      </c>
      <c r="D122" s="144" t="s">
        <v>15</v>
      </c>
      <c r="E122" s="144" t="s">
        <v>15</v>
      </c>
      <c r="F122" s="144" t="s">
        <v>61</v>
      </c>
      <c r="G122" s="144">
        <v>1.5</v>
      </c>
      <c r="H122" s="144">
        <v>10.0</v>
      </c>
      <c r="I122" s="144">
        <v>15.0</v>
      </c>
    </row>
    <row r="123" ht="20.25" hidden="1" customHeight="1">
      <c r="A123" s="144">
        <v>2025.0</v>
      </c>
      <c r="B123" s="144">
        <v>10.0</v>
      </c>
      <c r="C123" s="144" t="s">
        <v>128</v>
      </c>
      <c r="D123" s="144" t="s">
        <v>129</v>
      </c>
      <c r="E123" s="144" t="s">
        <v>44</v>
      </c>
      <c r="F123" s="144" t="s">
        <v>61</v>
      </c>
      <c r="G123" s="144">
        <v>10.0</v>
      </c>
      <c r="H123" s="144">
        <v>29.2</v>
      </c>
      <c r="I123" s="144">
        <v>292.0</v>
      </c>
    </row>
    <row r="124" ht="20.25" hidden="1" customHeight="1">
      <c r="A124" s="144">
        <v>2025.0</v>
      </c>
      <c r="B124" s="144">
        <v>11.0</v>
      </c>
      <c r="C124" s="144" t="s">
        <v>62</v>
      </c>
      <c r="D124" s="144" t="s">
        <v>126</v>
      </c>
      <c r="E124" s="144" t="s">
        <v>15</v>
      </c>
      <c r="F124" s="144" t="s">
        <v>61</v>
      </c>
      <c r="G124" s="144">
        <v>9.0</v>
      </c>
      <c r="H124" s="144">
        <v>17.8</v>
      </c>
      <c r="I124" s="144">
        <v>160.2</v>
      </c>
    </row>
    <row r="125" ht="20.25" hidden="1" customHeight="1">
      <c r="A125" s="144">
        <v>2025.0</v>
      </c>
      <c r="B125" s="144">
        <v>11.0</v>
      </c>
      <c r="C125" s="144" t="s">
        <v>128</v>
      </c>
      <c r="D125" s="144" t="s">
        <v>129</v>
      </c>
      <c r="E125" s="144" t="s">
        <v>44</v>
      </c>
      <c r="F125" s="144" t="s">
        <v>61</v>
      </c>
      <c r="G125" s="144">
        <v>6.0</v>
      </c>
      <c r="H125" s="144">
        <v>29.2</v>
      </c>
      <c r="I125" s="144">
        <v>175.2</v>
      </c>
    </row>
    <row r="126" ht="20.25" hidden="1" customHeight="1">
      <c r="A126" s="144">
        <v>2025.0</v>
      </c>
      <c r="B126" s="144">
        <v>12.0</v>
      </c>
      <c r="C126" s="144" t="s">
        <v>62</v>
      </c>
      <c r="D126" s="144" t="s">
        <v>126</v>
      </c>
      <c r="E126" s="144" t="s">
        <v>15</v>
      </c>
      <c r="F126" s="144" t="s">
        <v>61</v>
      </c>
      <c r="G126" s="144">
        <v>15.0</v>
      </c>
      <c r="H126" s="144">
        <v>17.8</v>
      </c>
      <c r="I126" s="144">
        <v>267.0</v>
      </c>
    </row>
    <row r="127" ht="20.25" hidden="1" customHeight="1">
      <c r="A127" s="144">
        <v>2025.0</v>
      </c>
      <c r="B127" s="144">
        <v>12.0</v>
      </c>
      <c r="C127" s="144" t="s">
        <v>128</v>
      </c>
      <c r="D127" s="144" t="s">
        <v>129</v>
      </c>
      <c r="E127" s="144" t="s">
        <v>44</v>
      </c>
      <c r="F127" s="144" t="s">
        <v>61</v>
      </c>
      <c r="G127" s="144">
        <v>20.0</v>
      </c>
      <c r="H127" s="144">
        <v>29.2</v>
      </c>
      <c r="I127" s="144">
        <v>584.0</v>
      </c>
    </row>
    <row r="128" ht="20.25" hidden="1" customHeight="1">
      <c r="A128" s="144">
        <v>2025.0</v>
      </c>
      <c r="B128" s="144">
        <v>12.0</v>
      </c>
      <c r="C128" s="144" t="s">
        <v>462</v>
      </c>
      <c r="D128" s="144" t="s">
        <v>131</v>
      </c>
      <c r="E128" s="144" t="s">
        <v>28</v>
      </c>
      <c r="F128" s="144" t="s">
        <v>61</v>
      </c>
      <c r="G128" s="144">
        <v>7.0</v>
      </c>
      <c r="H128" s="144">
        <v>8.6</v>
      </c>
      <c r="I128" s="144">
        <v>60.2</v>
      </c>
    </row>
    <row r="129" ht="20.25" hidden="1" customHeight="1">
      <c r="A129" s="144">
        <v>2025.0</v>
      </c>
      <c r="B129" s="144">
        <v>12.0</v>
      </c>
      <c r="C129" s="144" t="s">
        <v>462</v>
      </c>
      <c r="D129" s="144" t="s">
        <v>131</v>
      </c>
      <c r="E129" s="144" t="s">
        <v>35</v>
      </c>
      <c r="F129" s="144" t="s">
        <v>61</v>
      </c>
      <c r="G129" s="144">
        <v>7.0</v>
      </c>
      <c r="H129" s="144">
        <v>34.4</v>
      </c>
      <c r="I129" s="144">
        <v>240.8</v>
      </c>
    </row>
    <row r="130" ht="20.25" hidden="1" customHeight="1">
      <c r="A130" s="144">
        <v>2025.0</v>
      </c>
      <c r="B130" s="144">
        <v>10.0</v>
      </c>
      <c r="C130" s="144" t="s">
        <v>182</v>
      </c>
      <c r="D130" s="144" t="s">
        <v>184</v>
      </c>
      <c r="E130" s="144" t="s">
        <v>26</v>
      </c>
      <c r="F130" s="144" t="s">
        <v>61</v>
      </c>
      <c r="G130" s="144">
        <v>23.0</v>
      </c>
      <c r="H130" s="144">
        <v>10.2</v>
      </c>
      <c r="I130" s="144">
        <v>234.6</v>
      </c>
    </row>
    <row r="131" ht="20.25" hidden="1" customHeight="1">
      <c r="A131" s="144">
        <v>2025.0</v>
      </c>
      <c r="B131" s="144">
        <v>10.0</v>
      </c>
      <c r="C131" s="144" t="s">
        <v>182</v>
      </c>
      <c r="D131" s="144" t="s">
        <v>184</v>
      </c>
      <c r="E131" s="144" t="s">
        <v>38</v>
      </c>
      <c r="F131" s="144" t="s">
        <v>61</v>
      </c>
      <c r="G131" s="144">
        <v>23.0</v>
      </c>
      <c r="H131" s="144">
        <v>10.2</v>
      </c>
      <c r="I131" s="144">
        <v>234.6</v>
      </c>
    </row>
    <row r="132" ht="20.25" hidden="1" customHeight="1">
      <c r="A132" s="144">
        <v>2025.0</v>
      </c>
      <c r="B132" s="144">
        <v>11.0</v>
      </c>
      <c r="C132" s="144" t="s">
        <v>182</v>
      </c>
      <c r="D132" s="144" t="s">
        <v>184</v>
      </c>
      <c r="E132" s="144" t="s">
        <v>26</v>
      </c>
      <c r="F132" s="144" t="s">
        <v>61</v>
      </c>
      <c r="G132" s="144">
        <v>18.0</v>
      </c>
      <c r="H132" s="144">
        <v>10.2</v>
      </c>
      <c r="I132" s="144">
        <v>183.6</v>
      </c>
    </row>
    <row r="133" ht="20.25" hidden="1" customHeight="1">
      <c r="A133" s="144">
        <v>2025.0</v>
      </c>
      <c r="B133" s="144">
        <v>11.0</v>
      </c>
      <c r="C133" s="144" t="s">
        <v>182</v>
      </c>
      <c r="D133" s="144" t="s">
        <v>184</v>
      </c>
      <c r="E133" s="144" t="s">
        <v>38</v>
      </c>
      <c r="F133" s="144" t="s">
        <v>61</v>
      </c>
      <c r="G133" s="144">
        <v>18.0</v>
      </c>
      <c r="H133" s="144">
        <v>10.2</v>
      </c>
      <c r="I133" s="144">
        <v>183.6</v>
      </c>
    </row>
    <row r="134" ht="20.25" hidden="1" customHeight="1">
      <c r="A134" s="144">
        <v>2025.0</v>
      </c>
      <c r="B134" s="144">
        <v>12.0</v>
      </c>
      <c r="C134" s="144" t="s">
        <v>182</v>
      </c>
      <c r="D134" s="144" t="s">
        <v>184</v>
      </c>
      <c r="E134" s="144" t="s">
        <v>26</v>
      </c>
      <c r="F134" s="144" t="s">
        <v>61</v>
      </c>
      <c r="G134" s="144">
        <v>17.0</v>
      </c>
      <c r="H134" s="144">
        <v>10.2</v>
      </c>
      <c r="I134" s="144">
        <v>173.4</v>
      </c>
    </row>
    <row r="135" ht="20.25" hidden="1" customHeight="1">
      <c r="A135" s="144">
        <v>2025.0</v>
      </c>
      <c r="B135" s="144">
        <v>12.0</v>
      </c>
      <c r="C135" s="144" t="s">
        <v>182</v>
      </c>
      <c r="D135" s="144" t="s">
        <v>184</v>
      </c>
      <c r="E135" s="144" t="s">
        <v>38</v>
      </c>
      <c r="F135" s="144" t="s">
        <v>61</v>
      </c>
      <c r="G135" s="144">
        <v>17.0</v>
      </c>
      <c r="H135" s="144">
        <v>10.2</v>
      </c>
      <c r="I135" s="144">
        <v>173.4</v>
      </c>
    </row>
    <row r="136" ht="20.25" hidden="1" customHeight="1">
      <c r="A136" s="144">
        <v>2025.0</v>
      </c>
      <c r="B136" s="144">
        <v>10.0</v>
      </c>
      <c r="C136" s="144" t="s">
        <v>134</v>
      </c>
      <c r="D136" s="144" t="s">
        <v>107</v>
      </c>
      <c r="E136" s="144" t="s">
        <v>28</v>
      </c>
      <c r="F136" s="144" t="s">
        <v>61</v>
      </c>
      <c r="G136" s="144">
        <v>21.0</v>
      </c>
      <c r="H136" s="144">
        <v>6.5</v>
      </c>
      <c r="I136" s="144">
        <v>136.5</v>
      </c>
    </row>
    <row r="137" ht="20.25" hidden="1" customHeight="1">
      <c r="A137" s="144">
        <v>2025.0</v>
      </c>
      <c r="B137" s="144">
        <v>11.0</v>
      </c>
      <c r="C137" s="144" t="s">
        <v>134</v>
      </c>
      <c r="D137" s="144" t="s">
        <v>107</v>
      </c>
      <c r="E137" s="144" t="s">
        <v>28</v>
      </c>
      <c r="F137" s="144" t="s">
        <v>61</v>
      </c>
      <c r="G137" s="144">
        <v>17.0</v>
      </c>
      <c r="H137" s="144">
        <v>6.5</v>
      </c>
      <c r="I137" s="144">
        <v>110.5</v>
      </c>
    </row>
    <row r="138" ht="20.25" hidden="1" customHeight="1">
      <c r="A138" s="144">
        <v>2025.0</v>
      </c>
      <c r="B138" s="144">
        <v>12.0</v>
      </c>
      <c r="C138" s="144" t="s">
        <v>134</v>
      </c>
      <c r="D138" s="144" t="s">
        <v>107</v>
      </c>
      <c r="E138" s="144" t="s">
        <v>28</v>
      </c>
      <c r="F138" s="144" t="s">
        <v>61</v>
      </c>
      <c r="G138" s="144">
        <v>18.0</v>
      </c>
      <c r="H138" s="144">
        <v>6.5</v>
      </c>
      <c r="I138" s="144">
        <v>117.0</v>
      </c>
    </row>
    <row r="139" ht="20.25" hidden="1" customHeight="1">
      <c r="A139" s="144">
        <v>2025.0</v>
      </c>
      <c r="B139" s="144">
        <v>10.0</v>
      </c>
      <c r="C139" s="144" t="s">
        <v>136</v>
      </c>
      <c r="D139" s="144" t="s">
        <v>22</v>
      </c>
      <c r="E139" s="144" t="s">
        <v>22</v>
      </c>
      <c r="F139" s="144" t="s">
        <v>61</v>
      </c>
      <c r="G139" s="144">
        <v>4.0</v>
      </c>
      <c r="H139" s="144">
        <v>11.7</v>
      </c>
      <c r="I139" s="144">
        <v>46.8</v>
      </c>
    </row>
    <row r="140" ht="20.25" hidden="1" customHeight="1">
      <c r="A140" s="144">
        <v>2025.0</v>
      </c>
      <c r="B140" s="144">
        <v>10.0</v>
      </c>
      <c r="C140" s="144" t="s">
        <v>209</v>
      </c>
      <c r="D140" s="144" t="s">
        <v>22</v>
      </c>
      <c r="E140" s="144" t="s">
        <v>26</v>
      </c>
      <c r="F140" s="144" t="s">
        <v>61</v>
      </c>
      <c r="G140" s="144">
        <v>25.5</v>
      </c>
      <c r="H140" s="144">
        <v>4.0</v>
      </c>
      <c r="I140" s="144">
        <v>102.0</v>
      </c>
    </row>
    <row r="141" ht="20.25" hidden="1" customHeight="1">
      <c r="A141" s="144">
        <v>2025.0</v>
      </c>
      <c r="B141" s="144">
        <v>10.0</v>
      </c>
      <c r="C141" s="144" t="s">
        <v>209</v>
      </c>
      <c r="D141" s="144" t="s">
        <v>22</v>
      </c>
      <c r="E141" s="144" t="s">
        <v>28</v>
      </c>
      <c r="F141" s="144" t="s">
        <v>61</v>
      </c>
      <c r="G141" s="144">
        <v>25.5</v>
      </c>
      <c r="H141" s="144">
        <v>4.0</v>
      </c>
      <c r="I141" s="144">
        <v>102.0</v>
      </c>
    </row>
    <row r="142" ht="20.25" hidden="1" customHeight="1">
      <c r="A142" s="144">
        <v>2025.0</v>
      </c>
      <c r="B142" s="144">
        <v>11.0</v>
      </c>
      <c r="C142" s="144" t="s">
        <v>209</v>
      </c>
      <c r="D142" s="144" t="s">
        <v>22</v>
      </c>
      <c r="E142" s="144" t="s">
        <v>26</v>
      </c>
      <c r="F142" s="144" t="s">
        <v>61</v>
      </c>
      <c r="G142" s="144">
        <v>8.75</v>
      </c>
      <c r="H142" s="144">
        <v>4.0</v>
      </c>
      <c r="I142" s="144">
        <v>35.0</v>
      </c>
    </row>
    <row r="143" ht="20.25" hidden="1" customHeight="1">
      <c r="A143" s="144">
        <v>2025.0</v>
      </c>
      <c r="B143" s="144">
        <v>11.0</v>
      </c>
      <c r="C143" s="144" t="s">
        <v>463</v>
      </c>
      <c r="D143" s="144" t="s">
        <v>22</v>
      </c>
      <c r="E143" s="144" t="s">
        <v>26</v>
      </c>
      <c r="F143" s="144" t="s">
        <v>61</v>
      </c>
      <c r="G143" s="144">
        <v>10.75</v>
      </c>
      <c r="H143" s="144">
        <v>4.0</v>
      </c>
      <c r="I143" s="144">
        <v>43.0</v>
      </c>
    </row>
    <row r="144" ht="20.25" hidden="1" customHeight="1">
      <c r="A144" s="144">
        <v>2025.0</v>
      </c>
      <c r="B144" s="144">
        <v>11.0</v>
      </c>
      <c r="C144" s="144" t="s">
        <v>209</v>
      </c>
      <c r="D144" s="144" t="s">
        <v>22</v>
      </c>
      <c r="E144" s="144" t="s">
        <v>28</v>
      </c>
      <c r="F144" s="144" t="s">
        <v>61</v>
      </c>
      <c r="G144" s="144">
        <v>8.75</v>
      </c>
      <c r="H144" s="144">
        <v>4.0</v>
      </c>
      <c r="I144" s="144">
        <v>35.0</v>
      </c>
    </row>
    <row r="145" ht="20.25" hidden="1" customHeight="1">
      <c r="A145" s="144">
        <v>2025.0</v>
      </c>
      <c r="B145" s="144">
        <v>11.0</v>
      </c>
      <c r="C145" s="144" t="s">
        <v>463</v>
      </c>
      <c r="D145" s="144" t="s">
        <v>22</v>
      </c>
      <c r="E145" s="144" t="s">
        <v>28</v>
      </c>
      <c r="F145" s="144" t="s">
        <v>61</v>
      </c>
      <c r="G145" s="144">
        <v>10.75</v>
      </c>
      <c r="H145" s="144">
        <v>4.0</v>
      </c>
      <c r="I145" s="144">
        <v>43.0</v>
      </c>
    </row>
    <row r="146" ht="20.25" hidden="1" customHeight="1">
      <c r="A146" s="144">
        <v>2025.0</v>
      </c>
      <c r="B146" s="144">
        <v>12.0</v>
      </c>
      <c r="C146" s="144" t="s">
        <v>136</v>
      </c>
      <c r="D146" s="144" t="s">
        <v>22</v>
      </c>
      <c r="E146" s="144" t="s">
        <v>22</v>
      </c>
      <c r="F146" s="144" t="s">
        <v>61</v>
      </c>
      <c r="G146" s="144">
        <v>3.5</v>
      </c>
      <c r="H146" s="144">
        <v>11.7</v>
      </c>
      <c r="I146" s="144">
        <v>40.95</v>
      </c>
    </row>
    <row r="147" ht="20.25" hidden="1" customHeight="1">
      <c r="A147" s="144">
        <v>2025.0</v>
      </c>
      <c r="B147" s="144">
        <v>12.0</v>
      </c>
      <c r="C147" s="144" t="s">
        <v>463</v>
      </c>
      <c r="D147" s="144" t="s">
        <v>22</v>
      </c>
      <c r="E147" s="144" t="s">
        <v>26</v>
      </c>
      <c r="F147" s="144" t="s">
        <v>61</v>
      </c>
      <c r="G147" s="144">
        <v>16.0</v>
      </c>
      <c r="H147" s="144">
        <v>4.0</v>
      </c>
      <c r="I147" s="144">
        <v>64.0</v>
      </c>
    </row>
    <row r="148" ht="20.25" hidden="1" customHeight="1">
      <c r="A148" s="144">
        <v>2025.0</v>
      </c>
      <c r="B148" s="144">
        <v>12.0</v>
      </c>
      <c r="C148" s="144" t="s">
        <v>463</v>
      </c>
      <c r="D148" s="144" t="s">
        <v>22</v>
      </c>
      <c r="E148" s="144" t="s">
        <v>28</v>
      </c>
      <c r="F148" s="144" t="s">
        <v>61</v>
      </c>
      <c r="G148" s="144">
        <v>16.0</v>
      </c>
      <c r="H148" s="144">
        <v>4.0</v>
      </c>
      <c r="I148" s="144">
        <v>64.0</v>
      </c>
    </row>
    <row r="149" ht="20.25" hidden="1" customHeight="1">
      <c r="A149" s="144">
        <v>2025.0</v>
      </c>
      <c r="B149" s="144">
        <v>10.0</v>
      </c>
      <c r="C149" s="144" t="s">
        <v>137</v>
      </c>
      <c r="D149" s="144" t="s">
        <v>138</v>
      </c>
      <c r="E149" s="144" t="s">
        <v>28</v>
      </c>
      <c r="F149" s="144" t="s">
        <v>61</v>
      </c>
      <c r="G149" s="144">
        <v>22.0</v>
      </c>
      <c r="H149" s="144">
        <v>14.6</v>
      </c>
      <c r="I149" s="144">
        <v>321.2</v>
      </c>
    </row>
    <row r="150" ht="20.25" hidden="1" customHeight="1">
      <c r="A150" s="144">
        <v>2025.0</v>
      </c>
      <c r="B150" s="144">
        <v>11.0</v>
      </c>
      <c r="C150" s="144" t="s">
        <v>137</v>
      </c>
      <c r="D150" s="144" t="s">
        <v>138</v>
      </c>
      <c r="E150" s="144" t="s">
        <v>28</v>
      </c>
      <c r="F150" s="144" t="s">
        <v>61</v>
      </c>
      <c r="G150" s="144">
        <v>14.0</v>
      </c>
      <c r="H150" s="144">
        <v>14.6</v>
      </c>
      <c r="I150" s="144">
        <v>204.4</v>
      </c>
    </row>
    <row r="151" ht="20.25" hidden="1" customHeight="1">
      <c r="A151" s="144">
        <v>2025.0</v>
      </c>
      <c r="B151" s="144">
        <v>12.0</v>
      </c>
      <c r="C151" s="144" t="s">
        <v>137</v>
      </c>
      <c r="D151" s="144" t="s">
        <v>138</v>
      </c>
      <c r="E151" s="144" t="s">
        <v>28</v>
      </c>
      <c r="F151" s="144" t="s">
        <v>61</v>
      </c>
      <c r="G151" s="144">
        <v>14.0</v>
      </c>
      <c r="H151" s="144">
        <v>14.6</v>
      </c>
      <c r="I151" s="144">
        <v>204.4</v>
      </c>
    </row>
    <row r="152" ht="20.25" hidden="1" customHeight="1">
      <c r="A152" s="144">
        <v>2025.0</v>
      </c>
      <c r="B152" s="144">
        <v>10.0</v>
      </c>
      <c r="C152" s="144" t="s">
        <v>139</v>
      </c>
      <c r="D152" s="144" t="s">
        <v>140</v>
      </c>
      <c r="E152" s="144" t="s">
        <v>21</v>
      </c>
      <c r="F152" s="144" t="s">
        <v>61</v>
      </c>
      <c r="G152" s="144">
        <v>22.0</v>
      </c>
      <c r="H152" s="144">
        <v>20.0</v>
      </c>
      <c r="I152" s="144">
        <v>440.0</v>
      </c>
    </row>
    <row r="153" ht="20.25" hidden="1" customHeight="1">
      <c r="A153" s="144">
        <v>2025.0</v>
      </c>
      <c r="B153" s="144">
        <v>11.0</v>
      </c>
      <c r="C153" s="144" t="s">
        <v>139</v>
      </c>
      <c r="D153" s="144" t="s">
        <v>140</v>
      </c>
      <c r="E153" s="144" t="s">
        <v>21</v>
      </c>
      <c r="F153" s="144" t="s">
        <v>61</v>
      </c>
      <c r="G153" s="144">
        <v>15.0</v>
      </c>
      <c r="H153" s="144">
        <v>20.0</v>
      </c>
      <c r="I153" s="144">
        <v>300.0</v>
      </c>
    </row>
    <row r="154" ht="20.25" hidden="1" customHeight="1">
      <c r="A154" s="144">
        <v>2025.0</v>
      </c>
      <c r="B154" s="144">
        <v>12.0</v>
      </c>
      <c r="C154" s="144" t="s">
        <v>139</v>
      </c>
      <c r="D154" s="144" t="s">
        <v>140</v>
      </c>
      <c r="E154" s="144" t="s">
        <v>21</v>
      </c>
      <c r="F154" s="144" t="s">
        <v>61</v>
      </c>
      <c r="G154" s="144">
        <v>17.0</v>
      </c>
      <c r="H154" s="144">
        <v>20.0</v>
      </c>
      <c r="I154" s="144">
        <v>340.0</v>
      </c>
    </row>
    <row r="155" ht="20.25" hidden="1" customHeight="1">
      <c r="A155" s="144">
        <v>2025.0</v>
      </c>
      <c r="B155" s="144">
        <v>10.0</v>
      </c>
      <c r="C155" s="144" t="s">
        <v>464</v>
      </c>
      <c r="D155" s="144" t="s">
        <v>279</v>
      </c>
      <c r="E155" s="144" t="s">
        <v>279</v>
      </c>
      <c r="F155" s="144" t="s">
        <v>61</v>
      </c>
      <c r="G155" s="144">
        <v>23.0</v>
      </c>
      <c r="H155" s="144">
        <v>14.5</v>
      </c>
      <c r="I155" s="144">
        <v>333.5</v>
      </c>
    </row>
    <row r="156" ht="20.25" hidden="1" customHeight="1">
      <c r="A156" s="144">
        <v>2025.0</v>
      </c>
      <c r="B156" s="144">
        <v>11.0</v>
      </c>
      <c r="C156" s="144" t="s">
        <v>464</v>
      </c>
      <c r="D156" s="144" t="s">
        <v>279</v>
      </c>
      <c r="E156" s="144" t="s">
        <v>279</v>
      </c>
      <c r="F156" s="144" t="s">
        <v>61</v>
      </c>
      <c r="G156" s="144">
        <v>17.0</v>
      </c>
      <c r="H156" s="144">
        <v>14.5</v>
      </c>
      <c r="I156" s="144">
        <v>246.5</v>
      </c>
    </row>
    <row r="157" ht="20.25" hidden="1" customHeight="1">
      <c r="A157" s="144">
        <v>2025.0</v>
      </c>
      <c r="B157" s="144">
        <v>12.0</v>
      </c>
      <c r="C157" s="144" t="s">
        <v>464</v>
      </c>
      <c r="D157" s="144" t="s">
        <v>279</v>
      </c>
      <c r="E157" s="144" t="s">
        <v>279</v>
      </c>
      <c r="F157" s="144" t="s">
        <v>61</v>
      </c>
      <c r="G157" s="144">
        <v>5.0</v>
      </c>
      <c r="H157" s="144">
        <v>7.5</v>
      </c>
      <c r="I157" s="144">
        <v>37.5</v>
      </c>
    </row>
    <row r="158" ht="20.25" hidden="1" customHeight="1">
      <c r="A158" s="144">
        <v>2025.0</v>
      </c>
      <c r="B158" s="144">
        <v>12.0</v>
      </c>
      <c r="C158" s="144" t="s">
        <v>464</v>
      </c>
      <c r="D158" s="144" t="s">
        <v>279</v>
      </c>
      <c r="E158" s="144" t="s">
        <v>279</v>
      </c>
      <c r="F158" s="144" t="s">
        <v>61</v>
      </c>
      <c r="G158" s="144">
        <v>17.0</v>
      </c>
      <c r="H158" s="144">
        <v>14.5</v>
      </c>
      <c r="I158" s="144">
        <v>246.5</v>
      </c>
    </row>
    <row r="159" ht="20.25" hidden="1" customHeight="1">
      <c r="A159" s="144">
        <v>2025.0</v>
      </c>
      <c r="B159" s="144">
        <v>12.0</v>
      </c>
      <c r="C159" s="144" t="s">
        <v>62</v>
      </c>
      <c r="D159" s="144" t="s">
        <v>143</v>
      </c>
      <c r="E159" s="144" t="s">
        <v>15</v>
      </c>
      <c r="F159" s="144" t="s">
        <v>61</v>
      </c>
      <c r="G159" s="144">
        <v>4.0</v>
      </c>
      <c r="H159" s="144">
        <v>30.3</v>
      </c>
      <c r="I159" s="144">
        <v>121.2</v>
      </c>
    </row>
    <row r="160" ht="20.25" hidden="1" customHeight="1">
      <c r="A160" s="144">
        <v>2025.0</v>
      </c>
      <c r="B160" s="144">
        <v>12.0</v>
      </c>
      <c r="C160" s="144" t="s">
        <v>62</v>
      </c>
      <c r="D160" s="144" t="s">
        <v>143</v>
      </c>
      <c r="E160" s="144" t="s">
        <v>15</v>
      </c>
      <c r="F160" s="144" t="s">
        <v>61</v>
      </c>
      <c r="G160" s="144">
        <v>15.0</v>
      </c>
      <c r="H160" s="144">
        <v>30.3</v>
      </c>
      <c r="I160" s="144">
        <v>454.5</v>
      </c>
    </row>
    <row r="161" ht="20.25" hidden="1" customHeight="1">
      <c r="A161" s="144">
        <v>2025.0</v>
      </c>
      <c r="B161" s="144">
        <v>11.0</v>
      </c>
      <c r="C161" s="144" t="s">
        <v>62</v>
      </c>
      <c r="D161" s="144" t="s">
        <v>207</v>
      </c>
      <c r="E161" s="144" t="s">
        <v>15</v>
      </c>
      <c r="F161" s="144" t="s">
        <v>61</v>
      </c>
      <c r="G161" s="144">
        <v>12.0</v>
      </c>
      <c r="H161" s="144">
        <v>40.8</v>
      </c>
      <c r="I161" s="144">
        <v>489.6</v>
      </c>
    </row>
    <row r="162" ht="20.25" hidden="1" customHeight="1">
      <c r="A162" s="144">
        <v>2025.0</v>
      </c>
      <c r="B162" s="144">
        <v>12.0</v>
      </c>
      <c r="C162" s="144" t="s">
        <v>62</v>
      </c>
      <c r="D162" s="144" t="s">
        <v>207</v>
      </c>
      <c r="E162" s="144" t="s">
        <v>15</v>
      </c>
      <c r="F162" s="144" t="s">
        <v>61</v>
      </c>
      <c r="G162" s="144">
        <v>17.5</v>
      </c>
      <c r="H162" s="144">
        <v>40.8</v>
      </c>
      <c r="I162" s="144">
        <v>714.0</v>
      </c>
    </row>
    <row r="163" ht="20.25" hidden="1" customHeight="1">
      <c r="A163" s="144">
        <v>2025.0</v>
      </c>
      <c r="B163" s="144">
        <v>10.0</v>
      </c>
      <c r="C163" s="144" t="s">
        <v>462</v>
      </c>
      <c r="D163" s="144" t="s">
        <v>465</v>
      </c>
      <c r="E163" s="144" t="s">
        <v>35</v>
      </c>
      <c r="F163" s="144" t="s">
        <v>61</v>
      </c>
      <c r="G163" s="144">
        <v>14.0</v>
      </c>
      <c r="H163" s="144">
        <v>50.0</v>
      </c>
      <c r="I163" s="144">
        <v>700.0</v>
      </c>
    </row>
    <row r="164" ht="20.25" hidden="1" customHeight="1">
      <c r="A164" s="144">
        <v>2025.0</v>
      </c>
      <c r="B164" s="144">
        <v>11.0</v>
      </c>
      <c r="C164" s="144" t="s">
        <v>462</v>
      </c>
      <c r="D164" s="144" t="s">
        <v>465</v>
      </c>
      <c r="E164" s="144" t="s">
        <v>35</v>
      </c>
      <c r="F164" s="144" t="s">
        <v>61</v>
      </c>
      <c r="G164" s="144">
        <v>18.5</v>
      </c>
      <c r="H164" s="144">
        <v>50.0</v>
      </c>
      <c r="I164" s="144">
        <v>925.0</v>
      </c>
    </row>
    <row r="165" ht="20.25" hidden="1" customHeight="1">
      <c r="A165" s="144">
        <v>2025.0</v>
      </c>
      <c r="B165" s="144">
        <v>12.0</v>
      </c>
      <c r="C165" s="144" t="s">
        <v>462</v>
      </c>
      <c r="D165" s="144" t="s">
        <v>465</v>
      </c>
      <c r="E165" s="144" t="s">
        <v>35</v>
      </c>
      <c r="F165" s="144" t="s">
        <v>61</v>
      </c>
      <c r="G165" s="144">
        <v>2.5</v>
      </c>
      <c r="H165" s="144">
        <v>50.0</v>
      </c>
      <c r="I165" s="144">
        <v>125.0</v>
      </c>
    </row>
    <row r="166" ht="20.25" hidden="1" customHeight="1">
      <c r="A166" s="144">
        <v>2025.0</v>
      </c>
      <c r="B166" s="144">
        <v>12.0</v>
      </c>
      <c r="C166" s="144" t="s">
        <v>462</v>
      </c>
      <c r="D166" s="144" t="s">
        <v>465</v>
      </c>
      <c r="E166" s="144" t="s">
        <v>35</v>
      </c>
      <c r="F166" s="144" t="s">
        <v>61</v>
      </c>
      <c r="G166" s="144">
        <v>15.5</v>
      </c>
      <c r="H166" s="144">
        <v>50.0</v>
      </c>
      <c r="I166" s="144">
        <v>775.0</v>
      </c>
    </row>
    <row r="167" ht="20.25" hidden="1" customHeight="1">
      <c r="A167" s="144">
        <v>2025.0</v>
      </c>
      <c r="B167" s="144">
        <v>12.0</v>
      </c>
      <c r="C167" s="144" t="s">
        <v>62</v>
      </c>
      <c r="D167" s="144" t="s">
        <v>215</v>
      </c>
      <c r="E167" s="144" t="s">
        <v>15</v>
      </c>
      <c r="F167" s="144" t="s">
        <v>61</v>
      </c>
      <c r="G167" s="144">
        <v>19.0</v>
      </c>
      <c r="H167" s="144">
        <v>18.6</v>
      </c>
      <c r="I167" s="144">
        <v>353.4</v>
      </c>
    </row>
    <row r="168" ht="20.25" hidden="1" customHeight="1">
      <c r="A168" s="144">
        <v>2025.0</v>
      </c>
      <c r="B168" s="144">
        <v>11.0</v>
      </c>
      <c r="C168" s="144" t="s">
        <v>62</v>
      </c>
      <c r="D168" s="144" t="s">
        <v>216</v>
      </c>
      <c r="E168" s="144" t="s">
        <v>15</v>
      </c>
      <c r="F168" s="144" t="s">
        <v>61</v>
      </c>
      <c r="G168" s="144">
        <v>12.0</v>
      </c>
      <c r="H168" s="144">
        <v>56.1</v>
      </c>
      <c r="I168" s="144">
        <v>673.2</v>
      </c>
    </row>
    <row r="169" ht="20.25" hidden="1" customHeight="1">
      <c r="A169" s="144">
        <v>2025.0</v>
      </c>
      <c r="B169" s="144">
        <v>12.0</v>
      </c>
      <c r="C169" s="144" t="s">
        <v>62</v>
      </c>
      <c r="D169" s="144" t="s">
        <v>216</v>
      </c>
      <c r="E169" s="144" t="s">
        <v>15</v>
      </c>
      <c r="F169" s="144" t="s">
        <v>61</v>
      </c>
      <c r="G169" s="144">
        <v>20.0</v>
      </c>
      <c r="H169" s="144">
        <v>56.1</v>
      </c>
      <c r="I169" s="144">
        <v>1122.0</v>
      </c>
    </row>
    <row r="170" ht="20.25" customHeight="1">
      <c r="A170" s="144"/>
      <c r="B170" s="144"/>
      <c r="C170" s="144"/>
      <c r="D170" s="144"/>
      <c r="E170" s="144"/>
      <c r="F170" s="144"/>
      <c r="G170" s="145"/>
      <c r="H170" s="145"/>
      <c r="I170" s="144"/>
    </row>
    <row r="171" ht="20.25" customHeight="1">
      <c r="A171" s="144"/>
      <c r="B171" s="144"/>
      <c r="C171" s="144"/>
      <c r="D171" s="144"/>
      <c r="E171" s="144"/>
      <c r="F171" s="144"/>
      <c r="G171" s="145"/>
      <c r="H171" s="145"/>
      <c r="I171" s="144"/>
    </row>
    <row r="172" ht="20.25" hidden="1" customHeight="1">
      <c r="A172" s="144">
        <v>2025.0</v>
      </c>
      <c r="B172" s="144">
        <v>12.0</v>
      </c>
      <c r="C172" s="144" t="s">
        <v>62</v>
      </c>
      <c r="D172" s="144" t="s">
        <v>143</v>
      </c>
      <c r="E172" s="144" t="s">
        <v>35</v>
      </c>
      <c r="F172" s="144" t="s">
        <v>61</v>
      </c>
      <c r="G172" s="144">
        <v>4.0</v>
      </c>
      <c r="H172" s="144">
        <v>7.0</v>
      </c>
      <c r="I172" s="144">
        <v>28.0</v>
      </c>
    </row>
    <row r="173" ht="20.25" hidden="1" customHeight="1">
      <c r="A173" s="144">
        <v>2025.0</v>
      </c>
      <c r="B173" s="144">
        <v>12.0</v>
      </c>
      <c r="C173" s="144" t="s">
        <v>62</v>
      </c>
      <c r="D173" s="144" t="s">
        <v>143</v>
      </c>
      <c r="E173" s="144" t="s">
        <v>35</v>
      </c>
      <c r="F173" s="144" t="s">
        <v>61</v>
      </c>
      <c r="G173" s="144">
        <v>15.0</v>
      </c>
      <c r="H173" s="144">
        <v>7.0</v>
      </c>
      <c r="I173" s="144">
        <v>105.0</v>
      </c>
    </row>
    <row r="174" ht="20.25" hidden="1" customHeight="1">
      <c r="A174" s="144">
        <v>2025.0</v>
      </c>
      <c r="B174" s="144">
        <v>10.0</v>
      </c>
      <c r="C174" s="144" t="s">
        <v>144</v>
      </c>
      <c r="D174" s="144" t="s">
        <v>23</v>
      </c>
      <c r="E174" s="144" t="s">
        <v>23</v>
      </c>
      <c r="F174" s="144" t="s">
        <v>61</v>
      </c>
      <c r="G174" s="144">
        <v>7.0</v>
      </c>
      <c r="H174" s="144">
        <v>20.0</v>
      </c>
      <c r="I174" s="144">
        <v>140.0</v>
      </c>
    </row>
    <row r="175" ht="20.25" hidden="1" customHeight="1">
      <c r="A175" s="144">
        <v>2025.0</v>
      </c>
      <c r="B175" s="144">
        <v>10.0</v>
      </c>
      <c r="C175" s="144" t="s">
        <v>144</v>
      </c>
      <c r="D175" s="144" t="s">
        <v>23</v>
      </c>
      <c r="E175" s="144" t="s">
        <v>23</v>
      </c>
      <c r="F175" s="144" t="s">
        <v>61</v>
      </c>
      <c r="G175" s="144">
        <v>16.0</v>
      </c>
      <c r="H175" s="144">
        <v>20.0</v>
      </c>
      <c r="I175" s="144">
        <v>320.0</v>
      </c>
    </row>
    <row r="176" ht="20.25" hidden="1" customHeight="1">
      <c r="A176" s="144">
        <v>2025.0</v>
      </c>
      <c r="B176" s="144">
        <v>11.0</v>
      </c>
      <c r="C176" s="144" t="s">
        <v>144</v>
      </c>
      <c r="D176" s="144" t="s">
        <v>23</v>
      </c>
      <c r="E176" s="144" t="s">
        <v>23</v>
      </c>
      <c r="F176" s="144" t="s">
        <v>61</v>
      </c>
      <c r="G176" s="144">
        <v>19.0</v>
      </c>
      <c r="H176" s="144">
        <v>20.0</v>
      </c>
      <c r="I176" s="144">
        <v>380.0</v>
      </c>
    </row>
    <row r="177" ht="20.25" hidden="1" customHeight="1">
      <c r="A177" s="144">
        <v>2025.0</v>
      </c>
      <c r="B177" s="144">
        <v>12.0</v>
      </c>
      <c r="C177" s="144" t="s">
        <v>144</v>
      </c>
      <c r="D177" s="144" t="s">
        <v>23</v>
      </c>
      <c r="E177" s="144" t="s">
        <v>23</v>
      </c>
      <c r="F177" s="144" t="s">
        <v>61</v>
      </c>
      <c r="G177" s="144">
        <v>22.0</v>
      </c>
      <c r="H177" s="144">
        <v>20.0</v>
      </c>
      <c r="I177" s="144">
        <v>440.0</v>
      </c>
    </row>
    <row r="178" ht="20.25" hidden="1" customHeight="1">
      <c r="A178" s="144">
        <v>2025.0</v>
      </c>
      <c r="B178" s="144">
        <v>10.0</v>
      </c>
      <c r="C178" s="144" t="s">
        <v>466</v>
      </c>
      <c r="D178" s="144" t="s">
        <v>24</v>
      </c>
      <c r="E178" s="144" t="s">
        <v>48</v>
      </c>
      <c r="F178" s="144" t="s">
        <v>61</v>
      </c>
      <c r="G178" s="144">
        <v>19.0</v>
      </c>
      <c r="H178" s="144">
        <v>26.9</v>
      </c>
      <c r="I178" s="144">
        <v>511.1</v>
      </c>
    </row>
    <row r="179" ht="20.25" hidden="1" customHeight="1">
      <c r="A179" s="144">
        <v>2025.0</v>
      </c>
      <c r="B179" s="144">
        <v>11.0</v>
      </c>
      <c r="C179" s="144" t="s">
        <v>466</v>
      </c>
      <c r="D179" s="144" t="s">
        <v>24</v>
      </c>
      <c r="E179" s="144" t="s">
        <v>48</v>
      </c>
      <c r="F179" s="144" t="s">
        <v>61</v>
      </c>
      <c r="G179" s="144">
        <v>0.5</v>
      </c>
      <c r="H179" s="144">
        <v>26.9</v>
      </c>
      <c r="I179" s="144">
        <v>13.45</v>
      </c>
    </row>
    <row r="180" ht="20.25" hidden="1" customHeight="1">
      <c r="A180" s="144">
        <v>2025.0</v>
      </c>
      <c r="B180" s="144">
        <v>10.0</v>
      </c>
      <c r="C180" s="144" t="s">
        <v>146</v>
      </c>
      <c r="D180" s="144" t="s">
        <v>147</v>
      </c>
      <c r="E180" s="144" t="s">
        <v>28</v>
      </c>
      <c r="F180" s="144" t="s">
        <v>61</v>
      </c>
      <c r="G180" s="144">
        <v>22.0</v>
      </c>
      <c r="H180" s="144">
        <v>16.5</v>
      </c>
      <c r="I180" s="144">
        <v>363.0</v>
      </c>
    </row>
    <row r="181" ht="20.25" hidden="1" customHeight="1">
      <c r="A181" s="144">
        <v>2025.0</v>
      </c>
      <c r="B181" s="144">
        <v>11.0</v>
      </c>
      <c r="C181" s="144" t="s">
        <v>146</v>
      </c>
      <c r="D181" s="144" t="s">
        <v>147</v>
      </c>
      <c r="E181" s="144" t="s">
        <v>28</v>
      </c>
      <c r="F181" s="144" t="s">
        <v>61</v>
      </c>
      <c r="G181" s="144">
        <v>17.0</v>
      </c>
      <c r="H181" s="144">
        <v>16.5</v>
      </c>
      <c r="I181" s="144">
        <v>280.5</v>
      </c>
    </row>
    <row r="182" ht="20.25" hidden="1" customHeight="1">
      <c r="A182" s="144">
        <v>2025.0</v>
      </c>
      <c r="B182" s="144">
        <v>12.0</v>
      </c>
      <c r="C182" s="144" t="s">
        <v>146</v>
      </c>
      <c r="D182" s="144" t="s">
        <v>147</v>
      </c>
      <c r="E182" s="144" t="s">
        <v>28</v>
      </c>
      <c r="F182" s="144" t="s">
        <v>61</v>
      </c>
      <c r="G182" s="144">
        <v>20.0</v>
      </c>
      <c r="H182" s="144">
        <v>16.5</v>
      </c>
      <c r="I182" s="144">
        <v>330.0</v>
      </c>
    </row>
    <row r="183" ht="20.25" hidden="1" customHeight="1">
      <c r="A183" s="144">
        <v>2025.0</v>
      </c>
      <c r="B183" s="144">
        <v>12.0</v>
      </c>
      <c r="C183" s="144" t="s">
        <v>148</v>
      </c>
      <c r="D183" s="144" t="s">
        <v>25</v>
      </c>
      <c r="E183" s="144" t="s">
        <v>25</v>
      </c>
      <c r="F183" s="144" t="s">
        <v>61</v>
      </c>
      <c r="G183" s="144">
        <v>18.0</v>
      </c>
      <c r="H183" s="144">
        <v>13.7</v>
      </c>
      <c r="I183" s="144">
        <v>246.6</v>
      </c>
    </row>
    <row r="184" ht="20.25" hidden="1" customHeight="1">
      <c r="A184" s="144">
        <v>2025.0</v>
      </c>
      <c r="B184" s="144">
        <v>12.0</v>
      </c>
      <c r="C184" s="144" t="s">
        <v>148</v>
      </c>
      <c r="D184" s="144" t="s">
        <v>25</v>
      </c>
      <c r="E184" s="144" t="s">
        <v>28</v>
      </c>
      <c r="F184" s="144" t="s">
        <v>61</v>
      </c>
      <c r="G184" s="144">
        <v>18.0</v>
      </c>
      <c r="H184" s="144">
        <v>3.4</v>
      </c>
      <c r="I184" s="144">
        <v>61.2</v>
      </c>
    </row>
    <row r="185" ht="20.25" hidden="1" customHeight="1">
      <c r="A185" s="144">
        <v>2025.0</v>
      </c>
      <c r="B185" s="144">
        <v>10.0</v>
      </c>
      <c r="C185" s="144" t="s">
        <v>148</v>
      </c>
      <c r="D185" s="144" t="s">
        <v>25</v>
      </c>
      <c r="E185" s="144" t="s">
        <v>28</v>
      </c>
      <c r="F185" s="144" t="s">
        <v>61</v>
      </c>
      <c r="G185" s="144">
        <v>21.0</v>
      </c>
      <c r="H185" s="144">
        <v>3.4</v>
      </c>
      <c r="I185" s="144">
        <v>71.4</v>
      </c>
    </row>
    <row r="186" ht="20.25" hidden="1" customHeight="1">
      <c r="A186" s="144">
        <v>2025.0</v>
      </c>
      <c r="B186" s="144">
        <v>11.0</v>
      </c>
      <c r="C186" s="144" t="s">
        <v>148</v>
      </c>
      <c r="D186" s="144" t="s">
        <v>25</v>
      </c>
      <c r="E186" s="144" t="s">
        <v>28</v>
      </c>
      <c r="F186" s="144" t="s">
        <v>61</v>
      </c>
      <c r="G186" s="144">
        <v>16.0</v>
      </c>
      <c r="H186" s="144">
        <v>3.4</v>
      </c>
      <c r="I186" s="144">
        <v>54.4</v>
      </c>
    </row>
    <row r="187" ht="20.25" hidden="1" customHeight="1">
      <c r="A187" s="144">
        <v>2025.0</v>
      </c>
      <c r="B187" s="144">
        <v>10.0</v>
      </c>
      <c r="C187" s="144" t="s">
        <v>149</v>
      </c>
      <c r="D187" s="144" t="s">
        <v>150</v>
      </c>
      <c r="E187" s="144" t="s">
        <v>28</v>
      </c>
      <c r="F187" s="144" t="s">
        <v>61</v>
      </c>
      <c r="G187" s="144">
        <v>22.5</v>
      </c>
      <c r="H187" s="144">
        <v>3.1</v>
      </c>
      <c r="I187" s="144">
        <v>69.75</v>
      </c>
    </row>
    <row r="188" ht="20.25" hidden="1" customHeight="1">
      <c r="A188" s="144">
        <v>2025.0</v>
      </c>
      <c r="B188" s="144">
        <v>11.0</v>
      </c>
      <c r="C188" s="144" t="s">
        <v>149</v>
      </c>
      <c r="D188" s="144" t="s">
        <v>150</v>
      </c>
      <c r="E188" s="144" t="s">
        <v>28</v>
      </c>
      <c r="F188" s="144" t="s">
        <v>61</v>
      </c>
      <c r="G188" s="144">
        <v>18.0</v>
      </c>
      <c r="H188" s="144">
        <v>3.1</v>
      </c>
      <c r="I188" s="144">
        <v>55.8</v>
      </c>
    </row>
    <row r="189" ht="20.25" hidden="1" customHeight="1">
      <c r="A189" s="144">
        <v>2025.0</v>
      </c>
      <c r="B189" s="144">
        <v>12.0</v>
      </c>
      <c r="C189" s="144" t="s">
        <v>149</v>
      </c>
      <c r="D189" s="144" t="s">
        <v>150</v>
      </c>
      <c r="E189" s="144" t="s">
        <v>25</v>
      </c>
      <c r="F189" s="144" t="s">
        <v>61</v>
      </c>
      <c r="G189" s="144">
        <v>17.0</v>
      </c>
      <c r="H189" s="144">
        <v>3.1</v>
      </c>
      <c r="I189" s="144">
        <v>52.7</v>
      </c>
    </row>
    <row r="190" ht="20.25" hidden="1" customHeight="1">
      <c r="A190" s="144">
        <v>2025.0</v>
      </c>
      <c r="B190" s="144">
        <v>12.0</v>
      </c>
      <c r="C190" s="144" t="s">
        <v>149</v>
      </c>
      <c r="D190" s="144" t="s">
        <v>150</v>
      </c>
      <c r="E190" s="144" t="s">
        <v>28</v>
      </c>
      <c r="F190" s="144" t="s">
        <v>61</v>
      </c>
      <c r="G190" s="144">
        <v>17.0</v>
      </c>
      <c r="H190" s="144">
        <v>3.1</v>
      </c>
      <c r="I190" s="144">
        <v>52.7</v>
      </c>
    </row>
    <row r="191" ht="20.25" hidden="1" customHeight="1">
      <c r="A191" s="144">
        <v>2025.0</v>
      </c>
      <c r="B191" s="144">
        <v>10.0</v>
      </c>
      <c r="C191" s="144" t="s">
        <v>467</v>
      </c>
      <c r="D191" s="144" t="s">
        <v>152</v>
      </c>
      <c r="E191" s="144" t="s">
        <v>17</v>
      </c>
      <c r="F191" s="144" t="s">
        <v>61</v>
      </c>
      <c r="G191" s="144">
        <v>13.0</v>
      </c>
      <c r="H191" s="144">
        <v>4.5</v>
      </c>
      <c r="I191" s="144">
        <v>58.5</v>
      </c>
    </row>
    <row r="192" ht="20.25" hidden="1" customHeight="1">
      <c r="A192" s="144">
        <v>2025.0</v>
      </c>
      <c r="B192" s="144">
        <v>11.0</v>
      </c>
      <c r="C192" s="144" t="s">
        <v>467</v>
      </c>
      <c r="D192" s="144" t="s">
        <v>152</v>
      </c>
      <c r="E192" s="144" t="s">
        <v>17</v>
      </c>
      <c r="F192" s="144" t="s">
        <v>61</v>
      </c>
      <c r="G192" s="144">
        <v>17.0</v>
      </c>
      <c r="H192" s="144">
        <v>4.5</v>
      </c>
      <c r="I192" s="144">
        <v>76.5</v>
      </c>
    </row>
    <row r="193" ht="20.25" hidden="1" customHeight="1">
      <c r="A193" s="144">
        <v>2025.0</v>
      </c>
      <c r="B193" s="144">
        <v>12.0</v>
      </c>
      <c r="C193" s="144" t="s">
        <v>467</v>
      </c>
      <c r="D193" s="144" t="s">
        <v>152</v>
      </c>
      <c r="E193" s="144" t="s">
        <v>17</v>
      </c>
      <c r="F193" s="144" t="s">
        <v>61</v>
      </c>
      <c r="G193" s="144">
        <v>11.0</v>
      </c>
      <c r="H193" s="144">
        <v>4.5</v>
      </c>
      <c r="I193" s="144">
        <v>49.5</v>
      </c>
    </row>
    <row r="194" ht="20.25" hidden="1" customHeight="1">
      <c r="A194" s="144">
        <v>2025.0</v>
      </c>
      <c r="B194" s="144">
        <v>10.0</v>
      </c>
      <c r="C194" s="144" t="s">
        <v>157</v>
      </c>
      <c r="D194" s="144" t="s">
        <v>158</v>
      </c>
      <c r="E194" s="144" t="s">
        <v>28</v>
      </c>
      <c r="F194" s="144" t="s">
        <v>61</v>
      </c>
      <c r="G194" s="144">
        <v>23.0</v>
      </c>
      <c r="H194" s="144">
        <v>4.8</v>
      </c>
      <c r="I194" s="144">
        <v>110.4</v>
      </c>
    </row>
    <row r="195" ht="20.25" hidden="1" customHeight="1">
      <c r="A195" s="144">
        <v>2025.0</v>
      </c>
      <c r="B195" s="144">
        <v>11.0</v>
      </c>
      <c r="C195" s="144" t="s">
        <v>157</v>
      </c>
      <c r="D195" s="144" t="s">
        <v>158</v>
      </c>
      <c r="E195" s="144" t="s">
        <v>28</v>
      </c>
      <c r="F195" s="144" t="s">
        <v>61</v>
      </c>
      <c r="G195" s="144">
        <v>12.5</v>
      </c>
      <c r="H195" s="144">
        <v>4.8</v>
      </c>
      <c r="I195" s="144">
        <v>60.0</v>
      </c>
    </row>
    <row r="196" ht="20.25" hidden="1" customHeight="1">
      <c r="A196" s="144">
        <v>2025.0</v>
      </c>
      <c r="B196" s="144">
        <v>12.0</v>
      </c>
      <c r="C196" s="144" t="s">
        <v>157</v>
      </c>
      <c r="D196" s="144" t="s">
        <v>158</v>
      </c>
      <c r="E196" s="144" t="s">
        <v>28</v>
      </c>
      <c r="F196" s="144" t="s">
        <v>61</v>
      </c>
      <c r="G196" s="144">
        <v>17.0</v>
      </c>
      <c r="H196" s="144">
        <v>4.8</v>
      </c>
      <c r="I196" s="144">
        <v>81.6</v>
      </c>
    </row>
    <row r="197" ht="20.25" hidden="1" customHeight="1">
      <c r="A197" s="144">
        <v>2025.0</v>
      </c>
      <c r="B197" s="144">
        <v>10.0</v>
      </c>
      <c r="C197" s="144" t="s">
        <v>159</v>
      </c>
      <c r="D197" s="144" t="s">
        <v>26</v>
      </c>
      <c r="E197" s="144" t="s">
        <v>26</v>
      </c>
      <c r="F197" s="144" t="s">
        <v>61</v>
      </c>
      <c r="G197" s="144">
        <v>4.0</v>
      </c>
      <c r="H197" s="144">
        <v>16.5</v>
      </c>
      <c r="I197" s="144">
        <v>66.0</v>
      </c>
    </row>
    <row r="198" ht="20.25" hidden="1" customHeight="1">
      <c r="A198" s="144">
        <v>2025.0</v>
      </c>
      <c r="B198" s="144">
        <v>10.0</v>
      </c>
      <c r="C198" s="144" t="s">
        <v>160</v>
      </c>
      <c r="D198" s="144" t="s">
        <v>26</v>
      </c>
      <c r="E198" s="144" t="s">
        <v>35</v>
      </c>
      <c r="F198" s="144" t="s">
        <v>61</v>
      </c>
      <c r="G198" s="144">
        <v>18.0</v>
      </c>
      <c r="H198" s="144">
        <v>18.7</v>
      </c>
      <c r="I198" s="144">
        <v>336.6</v>
      </c>
    </row>
    <row r="199" ht="20.25" hidden="1" customHeight="1">
      <c r="A199" s="144">
        <v>2025.0</v>
      </c>
      <c r="B199" s="144">
        <v>11.0</v>
      </c>
      <c r="C199" s="144" t="s">
        <v>159</v>
      </c>
      <c r="D199" s="144" t="s">
        <v>26</v>
      </c>
      <c r="E199" s="144" t="s">
        <v>26</v>
      </c>
      <c r="F199" s="144" t="s">
        <v>61</v>
      </c>
      <c r="G199" s="144">
        <v>7.0</v>
      </c>
      <c r="H199" s="144">
        <v>16.5</v>
      </c>
      <c r="I199" s="144">
        <v>115.5</v>
      </c>
    </row>
    <row r="200" ht="20.25" hidden="1" customHeight="1">
      <c r="A200" s="144">
        <v>2025.0</v>
      </c>
      <c r="B200" s="144">
        <v>11.0</v>
      </c>
      <c r="C200" s="144" t="s">
        <v>160</v>
      </c>
      <c r="D200" s="144" t="s">
        <v>26</v>
      </c>
      <c r="E200" s="144" t="s">
        <v>35</v>
      </c>
      <c r="F200" s="144" t="s">
        <v>61</v>
      </c>
      <c r="G200" s="144">
        <v>15.5</v>
      </c>
      <c r="H200" s="144">
        <v>18.7</v>
      </c>
      <c r="I200" s="144">
        <v>289.85</v>
      </c>
    </row>
    <row r="201" ht="20.25" hidden="1" customHeight="1">
      <c r="A201" s="144">
        <v>2025.0</v>
      </c>
      <c r="B201" s="144">
        <v>12.0</v>
      </c>
      <c r="C201" s="144" t="s">
        <v>159</v>
      </c>
      <c r="D201" s="144" t="s">
        <v>26</v>
      </c>
      <c r="E201" s="144" t="s">
        <v>26</v>
      </c>
      <c r="F201" s="144" t="s">
        <v>61</v>
      </c>
      <c r="G201" s="144">
        <v>2.0</v>
      </c>
      <c r="H201" s="144">
        <v>16.5</v>
      </c>
      <c r="I201" s="144">
        <v>33.0</v>
      </c>
    </row>
    <row r="202" ht="20.25" hidden="1" customHeight="1">
      <c r="A202" s="144">
        <v>2025.0</v>
      </c>
      <c r="B202" s="144">
        <v>12.0</v>
      </c>
      <c r="C202" s="144" t="s">
        <v>160</v>
      </c>
      <c r="D202" s="144" t="s">
        <v>26</v>
      </c>
      <c r="E202" s="144" t="s">
        <v>35</v>
      </c>
      <c r="F202" s="144" t="s">
        <v>61</v>
      </c>
      <c r="G202" s="144">
        <v>16.5</v>
      </c>
      <c r="H202" s="144">
        <v>18.7</v>
      </c>
      <c r="I202" s="144">
        <v>308.55</v>
      </c>
    </row>
    <row r="203" ht="20.25" hidden="1" customHeight="1">
      <c r="A203" s="144">
        <v>2025.0</v>
      </c>
      <c r="B203" s="144">
        <v>10.0</v>
      </c>
      <c r="C203" s="144" t="s">
        <v>161</v>
      </c>
      <c r="D203" s="144" t="s">
        <v>162</v>
      </c>
      <c r="E203" s="144" t="s">
        <v>28</v>
      </c>
      <c r="F203" s="144" t="s">
        <v>61</v>
      </c>
      <c r="G203" s="144">
        <v>22.0</v>
      </c>
      <c r="H203" s="144">
        <v>13.5</v>
      </c>
      <c r="I203" s="144">
        <v>297.0</v>
      </c>
    </row>
    <row r="204" ht="20.25" hidden="1" customHeight="1">
      <c r="A204" s="144">
        <v>2025.0</v>
      </c>
      <c r="B204" s="144">
        <v>11.0</v>
      </c>
      <c r="C204" s="144" t="s">
        <v>161</v>
      </c>
      <c r="D204" s="144" t="s">
        <v>162</v>
      </c>
      <c r="E204" s="144" t="s">
        <v>28</v>
      </c>
      <c r="F204" s="144" t="s">
        <v>61</v>
      </c>
      <c r="G204" s="144">
        <v>15.0</v>
      </c>
      <c r="H204" s="144">
        <v>13.5</v>
      </c>
      <c r="I204" s="144">
        <v>202.5</v>
      </c>
    </row>
    <row r="205" ht="20.25" hidden="1" customHeight="1">
      <c r="A205" s="144">
        <v>2025.0</v>
      </c>
      <c r="B205" s="144">
        <v>12.0</v>
      </c>
      <c r="C205" s="144" t="s">
        <v>161</v>
      </c>
      <c r="D205" s="144" t="s">
        <v>162</v>
      </c>
      <c r="E205" s="144" t="s">
        <v>28</v>
      </c>
      <c r="F205" s="144" t="s">
        <v>61</v>
      </c>
      <c r="G205" s="144">
        <v>18.0</v>
      </c>
      <c r="H205" s="144">
        <v>13.5</v>
      </c>
      <c r="I205" s="144">
        <v>243.0</v>
      </c>
    </row>
    <row r="206" ht="20.25" hidden="1" customHeight="1">
      <c r="A206" s="144">
        <v>2025.0</v>
      </c>
      <c r="B206" s="144">
        <v>10.0</v>
      </c>
      <c r="C206" s="144" t="s">
        <v>163</v>
      </c>
      <c r="D206" s="144" t="s">
        <v>164</v>
      </c>
      <c r="E206" s="144" t="s">
        <v>28</v>
      </c>
      <c r="F206" s="144" t="s">
        <v>61</v>
      </c>
      <c r="G206" s="144">
        <v>22.0</v>
      </c>
      <c r="H206" s="144">
        <v>18.0</v>
      </c>
      <c r="I206" s="144">
        <v>396.0</v>
      </c>
    </row>
    <row r="207" ht="20.25" hidden="1" customHeight="1">
      <c r="A207" s="144">
        <v>2025.0</v>
      </c>
      <c r="B207" s="144">
        <v>11.0</v>
      </c>
      <c r="C207" s="144" t="s">
        <v>163</v>
      </c>
      <c r="D207" s="144" t="s">
        <v>164</v>
      </c>
      <c r="E207" s="144" t="s">
        <v>28</v>
      </c>
      <c r="F207" s="144" t="s">
        <v>61</v>
      </c>
      <c r="G207" s="144">
        <v>17.0</v>
      </c>
      <c r="H207" s="144">
        <v>18.0</v>
      </c>
      <c r="I207" s="144">
        <v>306.0</v>
      </c>
    </row>
    <row r="208" ht="20.25" hidden="1" customHeight="1">
      <c r="A208" s="144">
        <v>2025.0</v>
      </c>
      <c r="B208" s="144">
        <v>12.0</v>
      </c>
      <c r="C208" s="144" t="s">
        <v>163</v>
      </c>
      <c r="D208" s="144" t="s">
        <v>164</v>
      </c>
      <c r="E208" s="144" t="s">
        <v>28</v>
      </c>
      <c r="F208" s="144" t="s">
        <v>61</v>
      </c>
      <c r="G208" s="144">
        <v>17.0</v>
      </c>
      <c r="H208" s="144">
        <v>18.0</v>
      </c>
      <c r="I208" s="144">
        <v>306.0</v>
      </c>
    </row>
    <row r="209" ht="20.25" hidden="1" customHeight="1">
      <c r="A209" s="144">
        <v>2025.0</v>
      </c>
      <c r="B209" s="144">
        <v>10.0</v>
      </c>
      <c r="C209" s="144" t="s">
        <v>141</v>
      </c>
      <c r="D209" s="144" t="s">
        <v>142</v>
      </c>
      <c r="E209" s="144" t="s">
        <v>15</v>
      </c>
      <c r="F209" s="144" t="s">
        <v>61</v>
      </c>
      <c r="G209" s="144">
        <v>7.0</v>
      </c>
      <c r="H209" s="144">
        <v>32.0</v>
      </c>
      <c r="I209" s="144">
        <v>224.0</v>
      </c>
    </row>
    <row r="210" ht="20.25" hidden="1" customHeight="1">
      <c r="A210" s="144">
        <v>2025.0</v>
      </c>
      <c r="B210" s="144">
        <v>10.0</v>
      </c>
      <c r="C210" s="144" t="s">
        <v>141</v>
      </c>
      <c r="D210" s="144" t="s">
        <v>142</v>
      </c>
      <c r="E210" s="144" t="s">
        <v>15</v>
      </c>
      <c r="F210" s="144" t="s">
        <v>61</v>
      </c>
      <c r="G210" s="144">
        <v>16.0</v>
      </c>
      <c r="H210" s="144">
        <v>32.0</v>
      </c>
      <c r="I210" s="144">
        <v>512.0</v>
      </c>
    </row>
    <row r="211" ht="20.25" hidden="1" customHeight="1">
      <c r="A211" s="144">
        <v>2025.0</v>
      </c>
      <c r="B211" s="144">
        <v>11.0</v>
      </c>
      <c r="C211" s="144" t="s">
        <v>141</v>
      </c>
      <c r="D211" s="144" t="s">
        <v>142</v>
      </c>
      <c r="E211" s="144" t="s">
        <v>15</v>
      </c>
      <c r="F211" s="144" t="s">
        <v>61</v>
      </c>
      <c r="G211" s="144">
        <v>19.0</v>
      </c>
      <c r="H211" s="144">
        <v>32.0</v>
      </c>
      <c r="I211" s="144">
        <v>608.0</v>
      </c>
    </row>
    <row r="212" ht="20.25" hidden="1" customHeight="1">
      <c r="A212" s="144">
        <v>2025.0</v>
      </c>
      <c r="B212" s="144">
        <v>12.0</v>
      </c>
      <c r="C212" s="144" t="s">
        <v>141</v>
      </c>
      <c r="D212" s="144" t="s">
        <v>142</v>
      </c>
      <c r="E212" s="144" t="s">
        <v>15</v>
      </c>
      <c r="F212" s="144" t="s">
        <v>61</v>
      </c>
      <c r="G212" s="144">
        <v>22.0</v>
      </c>
      <c r="H212" s="144">
        <v>32.0</v>
      </c>
      <c r="I212" s="144">
        <v>704.0</v>
      </c>
    </row>
    <row r="213" ht="20.25" hidden="1" customHeight="1">
      <c r="A213" s="144">
        <v>2025.0</v>
      </c>
      <c r="B213" s="144">
        <v>10.0</v>
      </c>
      <c r="C213" s="144" t="s">
        <v>468</v>
      </c>
      <c r="D213" s="144" t="s">
        <v>143</v>
      </c>
      <c r="E213" s="144" t="s">
        <v>15</v>
      </c>
      <c r="F213" s="144" t="s">
        <v>61</v>
      </c>
      <c r="G213" s="144">
        <v>4.5</v>
      </c>
      <c r="H213" s="144">
        <v>11.5</v>
      </c>
      <c r="I213" s="144">
        <v>51.75</v>
      </c>
    </row>
    <row r="214" ht="20.25" hidden="1" customHeight="1">
      <c r="A214" s="144">
        <v>2025.0</v>
      </c>
      <c r="B214" s="144">
        <v>10.0</v>
      </c>
      <c r="C214" s="144" t="s">
        <v>468</v>
      </c>
      <c r="D214" s="144" t="s">
        <v>143</v>
      </c>
      <c r="E214" s="144" t="s">
        <v>15</v>
      </c>
      <c r="F214" s="144" t="s">
        <v>61</v>
      </c>
      <c r="G214" s="144">
        <v>16.5</v>
      </c>
      <c r="H214" s="144">
        <v>11.5</v>
      </c>
      <c r="I214" s="144">
        <v>189.75</v>
      </c>
    </row>
    <row r="215" ht="20.25" hidden="1" customHeight="1">
      <c r="A215" s="144">
        <v>2025.0</v>
      </c>
      <c r="B215" s="144">
        <v>11.0</v>
      </c>
      <c r="C215" s="144" t="s">
        <v>468</v>
      </c>
      <c r="D215" s="144" t="s">
        <v>143</v>
      </c>
      <c r="E215" s="144" t="s">
        <v>15</v>
      </c>
      <c r="F215" s="144" t="s">
        <v>61</v>
      </c>
      <c r="G215" s="144">
        <v>13.0</v>
      </c>
      <c r="H215" s="144">
        <v>11.5</v>
      </c>
      <c r="I215" s="144">
        <v>149.5</v>
      </c>
    </row>
    <row r="216" ht="20.25" hidden="1" customHeight="1">
      <c r="A216" s="144">
        <v>2025.0</v>
      </c>
      <c r="B216" s="144">
        <v>10.0</v>
      </c>
      <c r="C216" s="144" t="s">
        <v>167</v>
      </c>
      <c r="D216" s="144" t="s">
        <v>168</v>
      </c>
      <c r="E216" s="144" t="s">
        <v>15</v>
      </c>
      <c r="F216" s="144" t="s">
        <v>61</v>
      </c>
      <c r="G216" s="144">
        <v>3.5</v>
      </c>
      <c r="H216" s="144">
        <v>18.5</v>
      </c>
      <c r="I216" s="144">
        <v>64.75</v>
      </c>
    </row>
    <row r="217" ht="20.25" hidden="1" customHeight="1">
      <c r="A217" s="144">
        <v>2025.0</v>
      </c>
      <c r="B217" s="144">
        <v>10.0</v>
      </c>
      <c r="C217" s="144" t="s">
        <v>169</v>
      </c>
      <c r="D217" s="144" t="s">
        <v>170</v>
      </c>
      <c r="E217" s="144" t="s">
        <v>26</v>
      </c>
      <c r="F217" s="144" t="s">
        <v>61</v>
      </c>
      <c r="G217" s="144">
        <v>19.0</v>
      </c>
      <c r="H217" s="144">
        <v>11.2</v>
      </c>
      <c r="I217" s="144">
        <v>212.8</v>
      </c>
    </row>
    <row r="218" ht="20.25" hidden="1" customHeight="1">
      <c r="A218" s="144">
        <v>2025.0</v>
      </c>
      <c r="B218" s="144">
        <v>10.0</v>
      </c>
      <c r="C218" s="144" t="s">
        <v>169</v>
      </c>
      <c r="D218" s="144" t="s">
        <v>170</v>
      </c>
      <c r="E218" s="144" t="s">
        <v>38</v>
      </c>
      <c r="F218" s="144" t="s">
        <v>61</v>
      </c>
      <c r="G218" s="144">
        <v>19.0</v>
      </c>
      <c r="H218" s="144">
        <v>6.1</v>
      </c>
      <c r="I218" s="144">
        <v>115.9</v>
      </c>
    </row>
    <row r="219" ht="20.25" hidden="1" customHeight="1">
      <c r="A219" s="144">
        <v>2025.0</v>
      </c>
      <c r="B219" s="144">
        <v>11.0</v>
      </c>
      <c r="C219" s="144" t="s">
        <v>169</v>
      </c>
      <c r="D219" s="144" t="s">
        <v>170</v>
      </c>
      <c r="E219" s="144" t="s">
        <v>26</v>
      </c>
      <c r="F219" s="144" t="s">
        <v>61</v>
      </c>
      <c r="G219" s="144">
        <v>16.0</v>
      </c>
      <c r="H219" s="144">
        <v>11.2</v>
      </c>
      <c r="I219" s="144">
        <v>179.2</v>
      </c>
    </row>
    <row r="220" ht="20.25" hidden="1" customHeight="1">
      <c r="A220" s="144">
        <v>2025.0</v>
      </c>
      <c r="B220" s="144">
        <v>11.0</v>
      </c>
      <c r="C220" s="144" t="s">
        <v>169</v>
      </c>
      <c r="D220" s="144" t="s">
        <v>170</v>
      </c>
      <c r="E220" s="144" t="s">
        <v>38</v>
      </c>
      <c r="F220" s="144" t="s">
        <v>61</v>
      </c>
      <c r="G220" s="144">
        <v>16.0</v>
      </c>
      <c r="H220" s="144">
        <v>6.1</v>
      </c>
      <c r="I220" s="144">
        <v>97.6</v>
      </c>
    </row>
    <row r="221" ht="20.25" hidden="1" customHeight="1">
      <c r="A221" s="144">
        <v>2025.0</v>
      </c>
      <c r="B221" s="144">
        <v>12.0</v>
      </c>
      <c r="C221" s="144" t="s">
        <v>169</v>
      </c>
      <c r="D221" s="144" t="s">
        <v>170</v>
      </c>
      <c r="E221" s="144" t="s">
        <v>26</v>
      </c>
      <c r="F221" s="144" t="s">
        <v>61</v>
      </c>
      <c r="G221" s="144">
        <v>11.0</v>
      </c>
      <c r="H221" s="144">
        <v>11.2</v>
      </c>
      <c r="I221" s="144">
        <v>123.2</v>
      </c>
    </row>
    <row r="222" ht="20.25" hidden="1" customHeight="1">
      <c r="A222" s="144">
        <v>2025.0</v>
      </c>
      <c r="B222" s="144">
        <v>12.0</v>
      </c>
      <c r="C222" s="144" t="s">
        <v>169</v>
      </c>
      <c r="D222" s="144" t="s">
        <v>170</v>
      </c>
      <c r="E222" s="144" t="s">
        <v>38</v>
      </c>
      <c r="F222" s="144" t="s">
        <v>61</v>
      </c>
      <c r="G222" s="144">
        <v>11.0</v>
      </c>
      <c r="H222" s="144">
        <v>6.1</v>
      </c>
      <c r="I222" s="144">
        <v>67.1</v>
      </c>
    </row>
    <row r="223" ht="20.25" hidden="1" customHeight="1">
      <c r="A223" s="144">
        <v>2025.0</v>
      </c>
      <c r="B223" s="144">
        <v>10.0</v>
      </c>
      <c r="C223" s="144" t="s">
        <v>469</v>
      </c>
      <c r="D223" s="144" t="s">
        <v>28</v>
      </c>
      <c r="E223" s="144" t="s">
        <v>28</v>
      </c>
      <c r="F223" s="144" t="s">
        <v>61</v>
      </c>
      <c r="G223" s="144">
        <v>4.5</v>
      </c>
      <c r="H223" s="144">
        <v>21.0</v>
      </c>
      <c r="I223" s="144">
        <v>94.5</v>
      </c>
    </row>
    <row r="224" ht="20.25" hidden="1" customHeight="1">
      <c r="A224" s="144">
        <v>2025.0</v>
      </c>
      <c r="B224" s="144">
        <v>11.0</v>
      </c>
      <c r="C224" s="144" t="s">
        <v>469</v>
      </c>
      <c r="D224" s="144" t="s">
        <v>28</v>
      </c>
      <c r="E224" s="144" t="s">
        <v>28</v>
      </c>
      <c r="F224" s="144" t="s">
        <v>61</v>
      </c>
      <c r="G224" s="144">
        <v>1.0</v>
      </c>
      <c r="H224" s="144">
        <v>21.0</v>
      </c>
      <c r="I224" s="144">
        <v>21.0</v>
      </c>
    </row>
    <row r="225" ht="20.25" hidden="1" customHeight="1">
      <c r="A225" s="144">
        <v>2025.0</v>
      </c>
      <c r="B225" s="144">
        <v>12.0</v>
      </c>
      <c r="C225" s="144" t="s">
        <v>470</v>
      </c>
      <c r="D225" s="144" t="s">
        <v>28</v>
      </c>
      <c r="E225" s="144" t="s">
        <v>28</v>
      </c>
      <c r="F225" s="144" t="s">
        <v>61</v>
      </c>
      <c r="G225" s="144">
        <v>1.0</v>
      </c>
      <c r="H225" s="144">
        <v>21.0</v>
      </c>
      <c r="I225" s="144">
        <v>21.0</v>
      </c>
    </row>
    <row r="226" ht="20.25" hidden="1" customHeight="1">
      <c r="A226" s="144">
        <v>2025.0</v>
      </c>
      <c r="B226" s="144">
        <v>10.0</v>
      </c>
      <c r="C226" s="144" t="s">
        <v>471</v>
      </c>
      <c r="D226" s="144" t="s">
        <v>174</v>
      </c>
      <c r="E226" s="144" t="s">
        <v>31</v>
      </c>
      <c r="F226" s="144" t="s">
        <v>113</v>
      </c>
      <c r="G226" s="144">
        <v>17.0</v>
      </c>
      <c r="H226" s="144">
        <v>10.0</v>
      </c>
      <c r="I226" s="144">
        <v>170.0</v>
      </c>
    </row>
    <row r="227" ht="20.25" hidden="1" customHeight="1">
      <c r="A227" s="144">
        <v>2025.0</v>
      </c>
      <c r="B227" s="144">
        <v>11.0</v>
      </c>
      <c r="C227" s="144" t="s">
        <v>173</v>
      </c>
      <c r="D227" s="144" t="s">
        <v>174</v>
      </c>
      <c r="E227" s="144" t="s">
        <v>28</v>
      </c>
      <c r="F227" s="144" t="s">
        <v>113</v>
      </c>
      <c r="G227" s="144">
        <v>18.0</v>
      </c>
      <c r="H227" s="144">
        <v>2.5</v>
      </c>
      <c r="I227" s="144">
        <v>45.0</v>
      </c>
    </row>
    <row r="228" ht="20.25" hidden="1" customHeight="1">
      <c r="A228" s="144">
        <v>2025.0</v>
      </c>
      <c r="B228" s="144">
        <v>12.0</v>
      </c>
      <c r="C228" s="144" t="s">
        <v>173</v>
      </c>
      <c r="D228" s="144" t="s">
        <v>174</v>
      </c>
      <c r="E228" s="144" t="s">
        <v>28</v>
      </c>
      <c r="F228" s="144" t="s">
        <v>113</v>
      </c>
      <c r="G228" s="144">
        <v>17.0</v>
      </c>
      <c r="H228" s="144">
        <v>2.5</v>
      </c>
      <c r="I228" s="144">
        <v>42.5</v>
      </c>
    </row>
    <row r="229" ht="20.25" hidden="1" customHeight="1">
      <c r="A229" s="144">
        <v>2025.0</v>
      </c>
      <c r="B229" s="144">
        <v>10.0</v>
      </c>
      <c r="C229" s="144" t="s">
        <v>175</v>
      </c>
      <c r="D229" s="144" t="s">
        <v>176</v>
      </c>
      <c r="E229" s="144" t="s">
        <v>26</v>
      </c>
      <c r="F229" s="144" t="s">
        <v>61</v>
      </c>
      <c r="G229" s="144">
        <v>21.0</v>
      </c>
      <c r="H229" s="144">
        <v>11.0</v>
      </c>
      <c r="I229" s="144">
        <v>231.0</v>
      </c>
    </row>
    <row r="230" ht="20.25" hidden="1" customHeight="1">
      <c r="A230" s="144">
        <v>2025.0</v>
      </c>
      <c r="B230" s="144">
        <v>10.0</v>
      </c>
      <c r="C230" s="144" t="s">
        <v>175</v>
      </c>
      <c r="D230" s="144" t="s">
        <v>176</v>
      </c>
      <c r="E230" s="144" t="s">
        <v>38</v>
      </c>
      <c r="F230" s="144" t="s">
        <v>61</v>
      </c>
      <c r="G230" s="144">
        <v>21.0</v>
      </c>
      <c r="H230" s="144">
        <v>2.3</v>
      </c>
      <c r="I230" s="144">
        <v>48.3</v>
      </c>
    </row>
    <row r="231" ht="20.25" hidden="1" customHeight="1">
      <c r="A231" s="144">
        <v>2025.0</v>
      </c>
      <c r="B231" s="144">
        <v>11.0</v>
      </c>
      <c r="C231" s="144" t="s">
        <v>175</v>
      </c>
      <c r="D231" s="144" t="s">
        <v>176</v>
      </c>
      <c r="E231" s="144" t="s">
        <v>26</v>
      </c>
      <c r="F231" s="144" t="s">
        <v>61</v>
      </c>
      <c r="G231" s="144">
        <v>2.5</v>
      </c>
      <c r="H231" s="144">
        <v>11.0</v>
      </c>
      <c r="I231" s="144">
        <v>27.5</v>
      </c>
    </row>
    <row r="232" ht="20.25" hidden="1" customHeight="1">
      <c r="A232" s="144">
        <v>2025.0</v>
      </c>
      <c r="B232" s="144">
        <v>11.0</v>
      </c>
      <c r="C232" s="144" t="s">
        <v>175</v>
      </c>
      <c r="D232" s="144" t="s">
        <v>176</v>
      </c>
      <c r="E232" s="144" t="s">
        <v>26</v>
      </c>
      <c r="F232" s="144" t="s">
        <v>61</v>
      </c>
      <c r="G232" s="144">
        <v>10.5</v>
      </c>
      <c r="H232" s="144">
        <v>11.0</v>
      </c>
      <c r="I232" s="144">
        <v>115.5</v>
      </c>
    </row>
    <row r="233" ht="20.25" hidden="1" customHeight="1">
      <c r="A233" s="144">
        <v>2025.0</v>
      </c>
      <c r="B233" s="144">
        <v>11.0</v>
      </c>
      <c r="C233" s="144" t="s">
        <v>175</v>
      </c>
      <c r="D233" s="144" t="s">
        <v>176</v>
      </c>
      <c r="E233" s="144" t="s">
        <v>38</v>
      </c>
      <c r="F233" s="144" t="s">
        <v>61</v>
      </c>
      <c r="G233" s="144">
        <v>2.5</v>
      </c>
      <c r="H233" s="144">
        <v>2.3</v>
      </c>
      <c r="I233" s="144">
        <v>5.75</v>
      </c>
    </row>
    <row r="234" ht="20.25" hidden="1" customHeight="1">
      <c r="A234" s="144">
        <v>2025.0</v>
      </c>
      <c r="B234" s="144">
        <v>11.0</v>
      </c>
      <c r="C234" s="144" t="s">
        <v>175</v>
      </c>
      <c r="D234" s="144" t="s">
        <v>176</v>
      </c>
      <c r="E234" s="144" t="s">
        <v>38</v>
      </c>
      <c r="F234" s="144" t="s">
        <v>61</v>
      </c>
      <c r="G234" s="144">
        <v>10.5</v>
      </c>
      <c r="H234" s="144">
        <v>2.3</v>
      </c>
      <c r="I234" s="144">
        <v>24.15</v>
      </c>
    </row>
    <row r="235" ht="20.25" hidden="1" customHeight="1">
      <c r="A235" s="144">
        <v>2025.0</v>
      </c>
      <c r="B235" s="144">
        <v>12.0</v>
      </c>
      <c r="C235" s="144" t="s">
        <v>175</v>
      </c>
      <c r="D235" s="144" t="s">
        <v>176</v>
      </c>
      <c r="E235" s="144" t="s">
        <v>26</v>
      </c>
      <c r="F235" s="144" t="s">
        <v>61</v>
      </c>
      <c r="G235" s="144">
        <v>16.0</v>
      </c>
      <c r="H235" s="144">
        <v>11.0</v>
      </c>
      <c r="I235" s="144">
        <v>176.0</v>
      </c>
    </row>
    <row r="236" ht="20.25" hidden="1" customHeight="1">
      <c r="A236" s="144">
        <v>2025.0</v>
      </c>
      <c r="B236" s="144">
        <v>12.0</v>
      </c>
      <c r="C236" s="144" t="s">
        <v>175</v>
      </c>
      <c r="D236" s="144" t="s">
        <v>176</v>
      </c>
      <c r="E236" s="144" t="s">
        <v>38</v>
      </c>
      <c r="F236" s="144" t="s">
        <v>61</v>
      </c>
      <c r="G236" s="144">
        <v>16.0</v>
      </c>
      <c r="H236" s="144">
        <v>2.3</v>
      </c>
      <c r="I236" s="144">
        <v>36.8</v>
      </c>
    </row>
    <row r="237" ht="20.25" hidden="1" customHeight="1">
      <c r="A237" s="144">
        <v>2025.0</v>
      </c>
      <c r="B237" s="144">
        <v>10.0</v>
      </c>
      <c r="C237" s="144" t="s">
        <v>472</v>
      </c>
      <c r="D237" s="144" t="s">
        <v>178</v>
      </c>
      <c r="E237" s="144" t="s">
        <v>31</v>
      </c>
      <c r="F237" s="144" t="s">
        <v>61</v>
      </c>
      <c r="G237" s="144">
        <v>19.0</v>
      </c>
      <c r="H237" s="144">
        <v>10.0</v>
      </c>
      <c r="I237" s="144">
        <v>190.0</v>
      </c>
    </row>
    <row r="238" ht="20.25" hidden="1" customHeight="1">
      <c r="A238" s="144">
        <v>2025.0</v>
      </c>
      <c r="B238" s="144">
        <v>11.0</v>
      </c>
      <c r="C238" s="144" t="s">
        <v>461</v>
      </c>
      <c r="D238" s="144" t="s">
        <v>178</v>
      </c>
      <c r="E238" s="144" t="s">
        <v>28</v>
      </c>
      <c r="F238" s="144" t="s">
        <v>61</v>
      </c>
      <c r="G238" s="144">
        <v>8.0</v>
      </c>
      <c r="H238" s="144">
        <v>5.2</v>
      </c>
      <c r="I238" s="144">
        <v>41.6</v>
      </c>
    </row>
    <row r="239" ht="20.25" hidden="1" customHeight="1">
      <c r="A239" s="144">
        <v>2025.0</v>
      </c>
      <c r="B239" s="144">
        <v>12.0</v>
      </c>
      <c r="C239" s="144" t="s">
        <v>461</v>
      </c>
      <c r="D239" s="144" t="s">
        <v>178</v>
      </c>
      <c r="E239" s="144" t="s">
        <v>28</v>
      </c>
      <c r="F239" s="144" t="s">
        <v>61</v>
      </c>
      <c r="G239" s="144">
        <v>14.5</v>
      </c>
      <c r="H239" s="144">
        <v>5.2</v>
      </c>
      <c r="I239" s="144">
        <v>75.4</v>
      </c>
    </row>
    <row r="240" ht="20.25" hidden="1" customHeight="1">
      <c r="A240" s="144">
        <v>2025.0</v>
      </c>
      <c r="B240" s="144">
        <v>10.0</v>
      </c>
      <c r="C240" s="144" t="s">
        <v>179</v>
      </c>
      <c r="D240" s="144" t="s">
        <v>29</v>
      </c>
      <c r="E240" s="144" t="s">
        <v>28</v>
      </c>
      <c r="F240" s="144" t="s">
        <v>61</v>
      </c>
      <c r="G240" s="144">
        <v>22.0</v>
      </c>
      <c r="H240" s="144">
        <v>10.0</v>
      </c>
      <c r="I240" s="144">
        <v>220.0</v>
      </c>
    </row>
    <row r="241" ht="20.25" hidden="1" customHeight="1">
      <c r="A241" s="144">
        <v>2025.0</v>
      </c>
      <c r="B241" s="144">
        <v>11.0</v>
      </c>
      <c r="C241" s="144" t="s">
        <v>179</v>
      </c>
      <c r="D241" s="144" t="s">
        <v>29</v>
      </c>
      <c r="E241" s="144" t="s">
        <v>28</v>
      </c>
      <c r="F241" s="144" t="s">
        <v>61</v>
      </c>
      <c r="G241" s="144">
        <v>18.5</v>
      </c>
      <c r="H241" s="144">
        <v>10.0</v>
      </c>
      <c r="I241" s="144">
        <v>185.0</v>
      </c>
    </row>
    <row r="242" ht="20.25" hidden="1" customHeight="1">
      <c r="A242" s="144">
        <v>2025.0</v>
      </c>
      <c r="B242" s="144">
        <v>12.0</v>
      </c>
      <c r="C242" s="144" t="s">
        <v>179</v>
      </c>
      <c r="D242" s="144" t="s">
        <v>29</v>
      </c>
      <c r="E242" s="144" t="s">
        <v>28</v>
      </c>
      <c r="F242" s="144" t="s">
        <v>61</v>
      </c>
      <c r="G242" s="144">
        <v>20.5</v>
      </c>
      <c r="H242" s="144">
        <v>10.0</v>
      </c>
      <c r="I242" s="144">
        <v>205.0</v>
      </c>
    </row>
    <row r="243" ht="20.25" hidden="1" customHeight="1">
      <c r="A243" s="144">
        <v>2025.0</v>
      </c>
      <c r="B243" s="144">
        <v>10.0</v>
      </c>
      <c r="C243" s="144" t="s">
        <v>473</v>
      </c>
      <c r="D243" s="144" t="s">
        <v>474</v>
      </c>
      <c r="E243" s="144" t="s">
        <v>28</v>
      </c>
      <c r="F243" s="144" t="s">
        <v>61</v>
      </c>
      <c r="G243" s="144">
        <v>23.0</v>
      </c>
      <c r="H243" s="144">
        <v>21.0</v>
      </c>
      <c r="I243" s="144">
        <v>483.0</v>
      </c>
    </row>
    <row r="244" ht="20.25" hidden="1" customHeight="1">
      <c r="A244" s="144">
        <v>2025.0</v>
      </c>
      <c r="B244" s="144">
        <v>11.0</v>
      </c>
      <c r="C244" s="144" t="s">
        <v>473</v>
      </c>
      <c r="D244" s="144" t="s">
        <v>474</v>
      </c>
      <c r="E244" s="144" t="s">
        <v>28</v>
      </c>
      <c r="F244" s="144" t="s">
        <v>61</v>
      </c>
      <c r="G244" s="144">
        <v>15.0</v>
      </c>
      <c r="H244" s="144">
        <v>21.0</v>
      </c>
      <c r="I244" s="144">
        <v>315.0</v>
      </c>
    </row>
    <row r="245" ht="20.25" hidden="1" customHeight="1">
      <c r="A245" s="144">
        <v>2025.0</v>
      </c>
      <c r="B245" s="144">
        <v>12.0</v>
      </c>
      <c r="C245" s="144" t="s">
        <v>473</v>
      </c>
      <c r="D245" s="144" t="s">
        <v>474</v>
      </c>
      <c r="E245" s="144" t="s">
        <v>28</v>
      </c>
      <c r="F245" s="144" t="s">
        <v>61</v>
      </c>
      <c r="G245" s="144">
        <v>9.0</v>
      </c>
      <c r="H245" s="144">
        <v>21.0</v>
      </c>
      <c r="I245" s="144">
        <v>189.0</v>
      </c>
    </row>
    <row r="246" ht="20.25" hidden="1" customHeight="1">
      <c r="A246" s="144">
        <v>2025.0</v>
      </c>
      <c r="B246" s="144">
        <v>10.0</v>
      </c>
      <c r="C246" s="144" t="s">
        <v>180</v>
      </c>
      <c r="D246" s="144" t="s">
        <v>30</v>
      </c>
      <c r="E246" s="144" t="s">
        <v>26</v>
      </c>
      <c r="F246" s="144" t="s">
        <v>61</v>
      </c>
      <c r="G246" s="144">
        <v>22.0</v>
      </c>
      <c r="H246" s="144">
        <v>48.3</v>
      </c>
      <c r="I246" s="144">
        <v>1062.6</v>
      </c>
    </row>
    <row r="247" ht="20.25" hidden="1" customHeight="1">
      <c r="A247" s="144">
        <v>2025.0</v>
      </c>
      <c r="B247" s="144">
        <v>11.0</v>
      </c>
      <c r="C247" s="144" t="s">
        <v>180</v>
      </c>
      <c r="D247" s="144" t="s">
        <v>30</v>
      </c>
      <c r="E247" s="144" t="s">
        <v>26</v>
      </c>
      <c r="F247" s="144" t="s">
        <v>61</v>
      </c>
      <c r="G247" s="144">
        <v>17.5</v>
      </c>
      <c r="H247" s="144">
        <v>48.3</v>
      </c>
      <c r="I247" s="144">
        <v>845.25</v>
      </c>
    </row>
    <row r="248" ht="20.25" hidden="1" customHeight="1">
      <c r="A248" s="144">
        <v>2025.0</v>
      </c>
      <c r="B248" s="144">
        <v>12.0</v>
      </c>
      <c r="C248" s="144" t="s">
        <v>180</v>
      </c>
      <c r="D248" s="144" t="s">
        <v>30</v>
      </c>
      <c r="E248" s="144" t="s">
        <v>26</v>
      </c>
      <c r="F248" s="144" t="s">
        <v>61</v>
      </c>
      <c r="G248" s="144">
        <v>20.0</v>
      </c>
      <c r="H248" s="144">
        <v>48.3</v>
      </c>
      <c r="I248" s="144">
        <v>966.0</v>
      </c>
    </row>
    <row r="249" ht="20.25" hidden="1" customHeight="1">
      <c r="A249" s="144">
        <v>2025.0</v>
      </c>
      <c r="B249" s="144">
        <v>10.0</v>
      </c>
      <c r="C249" s="144" t="s">
        <v>183</v>
      </c>
      <c r="D249" s="144" t="s">
        <v>185</v>
      </c>
      <c r="E249" s="144" t="s">
        <v>29</v>
      </c>
      <c r="F249" s="144" t="s">
        <v>61</v>
      </c>
      <c r="G249" s="144">
        <v>4.0</v>
      </c>
      <c r="H249" s="144">
        <v>14.9</v>
      </c>
      <c r="I249" s="144">
        <v>59.6</v>
      </c>
    </row>
    <row r="250" ht="20.25" hidden="1" customHeight="1">
      <c r="A250" s="144">
        <v>2025.0</v>
      </c>
      <c r="B250" s="144">
        <v>11.0</v>
      </c>
      <c r="C250" s="144" t="s">
        <v>183</v>
      </c>
      <c r="D250" s="144" t="s">
        <v>185</v>
      </c>
      <c r="E250" s="144" t="s">
        <v>29</v>
      </c>
      <c r="F250" s="144" t="s">
        <v>61</v>
      </c>
      <c r="G250" s="144">
        <v>4.0</v>
      </c>
      <c r="H250" s="144">
        <v>14.9</v>
      </c>
      <c r="I250" s="144">
        <v>59.6</v>
      </c>
    </row>
    <row r="251" ht="20.25" hidden="1" customHeight="1">
      <c r="A251" s="144">
        <v>2025.0</v>
      </c>
      <c r="B251" s="144">
        <v>12.0</v>
      </c>
      <c r="C251" s="144" t="s">
        <v>183</v>
      </c>
      <c r="D251" s="144" t="s">
        <v>185</v>
      </c>
      <c r="E251" s="144" t="s">
        <v>29</v>
      </c>
      <c r="F251" s="144" t="s">
        <v>61</v>
      </c>
      <c r="G251" s="144">
        <v>7.0</v>
      </c>
      <c r="H251" s="144">
        <v>14.9</v>
      </c>
      <c r="I251" s="144">
        <v>104.3</v>
      </c>
    </row>
    <row r="252" ht="20.25" hidden="1" customHeight="1">
      <c r="A252" s="144">
        <v>2025.0</v>
      </c>
      <c r="B252" s="144">
        <v>10.0</v>
      </c>
      <c r="C252" s="144" t="s">
        <v>167</v>
      </c>
      <c r="D252" s="144" t="s">
        <v>168</v>
      </c>
      <c r="E252" s="144" t="s">
        <v>15</v>
      </c>
      <c r="F252" s="144" t="s">
        <v>61</v>
      </c>
      <c r="G252" s="144">
        <v>15.5</v>
      </c>
      <c r="H252" s="144">
        <v>18.5</v>
      </c>
      <c r="I252" s="144">
        <v>286.75</v>
      </c>
    </row>
    <row r="253" ht="20.25" hidden="1" customHeight="1">
      <c r="A253" s="144">
        <v>2025.0</v>
      </c>
      <c r="B253" s="144">
        <v>10.0</v>
      </c>
      <c r="C253" s="144" t="s">
        <v>188</v>
      </c>
      <c r="D253" s="144" t="s">
        <v>189</v>
      </c>
      <c r="E253" s="144" t="s">
        <v>23</v>
      </c>
      <c r="F253" s="144" t="s">
        <v>61</v>
      </c>
      <c r="G253" s="144">
        <v>23.0</v>
      </c>
      <c r="H253" s="144">
        <v>31.0</v>
      </c>
      <c r="I253" s="144">
        <v>713.0</v>
      </c>
    </row>
    <row r="254" ht="20.25" hidden="1" customHeight="1">
      <c r="A254" s="144">
        <v>2025.0</v>
      </c>
      <c r="B254" s="144">
        <v>10.0</v>
      </c>
      <c r="C254" s="144" t="s">
        <v>188</v>
      </c>
      <c r="D254" s="144" t="s">
        <v>189</v>
      </c>
      <c r="E254" s="144" t="s">
        <v>35</v>
      </c>
      <c r="F254" s="144" t="s">
        <v>61</v>
      </c>
      <c r="G254" s="144">
        <v>23.0</v>
      </c>
      <c r="H254" s="144">
        <v>20.6</v>
      </c>
      <c r="I254" s="144">
        <v>473.8</v>
      </c>
    </row>
    <row r="255" ht="20.25" hidden="1" customHeight="1">
      <c r="A255" s="144">
        <v>2025.0</v>
      </c>
      <c r="B255" s="144">
        <v>11.0</v>
      </c>
      <c r="C255" s="144" t="s">
        <v>167</v>
      </c>
      <c r="D255" s="144" t="s">
        <v>168</v>
      </c>
      <c r="E255" s="144" t="s">
        <v>15</v>
      </c>
      <c r="F255" s="144" t="s">
        <v>61</v>
      </c>
      <c r="G255" s="144">
        <v>17.0</v>
      </c>
      <c r="H255" s="144">
        <v>18.5</v>
      </c>
      <c r="I255" s="144">
        <v>314.5</v>
      </c>
    </row>
    <row r="256" ht="20.25" hidden="1" customHeight="1">
      <c r="A256" s="144">
        <v>2025.0</v>
      </c>
      <c r="B256" s="144">
        <v>11.0</v>
      </c>
      <c r="C256" s="144" t="s">
        <v>188</v>
      </c>
      <c r="D256" s="144" t="s">
        <v>189</v>
      </c>
      <c r="E256" s="144" t="s">
        <v>23</v>
      </c>
      <c r="F256" s="144" t="s">
        <v>61</v>
      </c>
      <c r="G256" s="144">
        <v>19.0</v>
      </c>
      <c r="H256" s="144">
        <v>31.0</v>
      </c>
      <c r="I256" s="144">
        <v>589.0</v>
      </c>
    </row>
    <row r="257" ht="20.25" hidden="1" customHeight="1">
      <c r="A257" s="144">
        <v>2025.0</v>
      </c>
      <c r="B257" s="144">
        <v>11.0</v>
      </c>
      <c r="C257" s="144" t="s">
        <v>188</v>
      </c>
      <c r="D257" s="144" t="s">
        <v>189</v>
      </c>
      <c r="E257" s="144" t="s">
        <v>35</v>
      </c>
      <c r="F257" s="144" t="s">
        <v>61</v>
      </c>
      <c r="G257" s="144">
        <v>19.0</v>
      </c>
      <c r="H257" s="144">
        <v>20.6</v>
      </c>
      <c r="I257" s="144">
        <v>391.4</v>
      </c>
    </row>
    <row r="258" ht="20.25" hidden="1" customHeight="1">
      <c r="A258" s="144">
        <v>2025.0</v>
      </c>
      <c r="B258" s="144">
        <v>12.0</v>
      </c>
      <c r="C258" s="144" t="s">
        <v>167</v>
      </c>
      <c r="D258" s="144" t="s">
        <v>168</v>
      </c>
      <c r="E258" s="144" t="s">
        <v>15</v>
      </c>
      <c r="F258" s="144" t="s">
        <v>61</v>
      </c>
      <c r="G258" s="144">
        <v>2.0</v>
      </c>
      <c r="H258" s="144">
        <v>18.5</v>
      </c>
      <c r="I258" s="144">
        <v>37.0</v>
      </c>
    </row>
    <row r="259" ht="20.25" hidden="1" customHeight="1">
      <c r="A259" s="144">
        <v>2025.0</v>
      </c>
      <c r="B259" s="144">
        <v>12.0</v>
      </c>
      <c r="C259" s="144" t="s">
        <v>188</v>
      </c>
      <c r="D259" s="144" t="s">
        <v>189</v>
      </c>
      <c r="E259" s="144" t="s">
        <v>23</v>
      </c>
      <c r="F259" s="144" t="s">
        <v>61</v>
      </c>
      <c r="G259" s="144">
        <v>21.0</v>
      </c>
      <c r="H259" s="144">
        <v>31.0</v>
      </c>
      <c r="I259" s="144">
        <v>651.0</v>
      </c>
    </row>
    <row r="260" ht="20.25" hidden="1" customHeight="1">
      <c r="A260" s="144">
        <v>2025.0</v>
      </c>
      <c r="B260" s="144">
        <v>12.0</v>
      </c>
      <c r="C260" s="144" t="s">
        <v>188</v>
      </c>
      <c r="D260" s="144" t="s">
        <v>189</v>
      </c>
      <c r="E260" s="144" t="s">
        <v>35</v>
      </c>
      <c r="F260" s="144" t="s">
        <v>61</v>
      </c>
      <c r="G260" s="144">
        <v>21.0</v>
      </c>
      <c r="H260" s="144">
        <v>20.6</v>
      </c>
      <c r="I260" s="144">
        <v>432.6</v>
      </c>
    </row>
    <row r="261" ht="20.25" hidden="1" customHeight="1">
      <c r="A261" s="144">
        <v>2025.0</v>
      </c>
      <c r="B261" s="144">
        <v>10.0</v>
      </c>
      <c r="C261" s="144" t="s">
        <v>475</v>
      </c>
      <c r="D261" s="144" t="s">
        <v>191</v>
      </c>
      <c r="E261" s="144" t="s">
        <v>28</v>
      </c>
      <c r="F261" s="144" t="s">
        <v>61</v>
      </c>
      <c r="G261" s="144">
        <v>22.0</v>
      </c>
      <c r="H261" s="144">
        <v>11.1</v>
      </c>
      <c r="I261" s="144">
        <v>244.2</v>
      </c>
    </row>
    <row r="262" ht="20.25" hidden="1" customHeight="1">
      <c r="A262" s="144">
        <v>2025.0</v>
      </c>
      <c r="B262" s="144">
        <v>10.0</v>
      </c>
      <c r="C262" s="144" t="s">
        <v>475</v>
      </c>
      <c r="D262" s="144" t="s">
        <v>191</v>
      </c>
      <c r="E262" s="144" t="s">
        <v>42</v>
      </c>
      <c r="F262" s="144" t="s">
        <v>61</v>
      </c>
      <c r="G262" s="144">
        <v>22.0</v>
      </c>
      <c r="H262" s="144">
        <v>5.5</v>
      </c>
      <c r="I262" s="144">
        <v>121.0</v>
      </c>
    </row>
    <row r="263" ht="20.25" hidden="1" customHeight="1">
      <c r="A263" s="144">
        <v>2025.0</v>
      </c>
      <c r="B263" s="144">
        <v>11.0</v>
      </c>
      <c r="C263" s="144" t="s">
        <v>475</v>
      </c>
      <c r="D263" s="144" t="s">
        <v>191</v>
      </c>
      <c r="E263" s="144" t="s">
        <v>28</v>
      </c>
      <c r="F263" s="144" t="s">
        <v>61</v>
      </c>
      <c r="G263" s="144">
        <v>17.0</v>
      </c>
      <c r="H263" s="144">
        <v>11.1</v>
      </c>
      <c r="I263" s="144">
        <v>188.7</v>
      </c>
    </row>
    <row r="264" ht="20.25" hidden="1" customHeight="1">
      <c r="A264" s="144">
        <v>2025.0</v>
      </c>
      <c r="B264" s="144">
        <v>11.0</v>
      </c>
      <c r="C264" s="144" t="s">
        <v>475</v>
      </c>
      <c r="D264" s="144" t="s">
        <v>191</v>
      </c>
      <c r="E264" s="144" t="s">
        <v>42</v>
      </c>
      <c r="F264" s="144" t="s">
        <v>61</v>
      </c>
      <c r="G264" s="144">
        <v>17.0</v>
      </c>
      <c r="H264" s="144">
        <v>5.5</v>
      </c>
      <c r="I264" s="144">
        <v>93.5</v>
      </c>
    </row>
    <row r="265" ht="20.25" hidden="1" customHeight="1">
      <c r="A265" s="144">
        <v>2025.0</v>
      </c>
      <c r="B265" s="144">
        <v>12.0</v>
      </c>
      <c r="C265" s="144" t="s">
        <v>475</v>
      </c>
      <c r="D265" s="144" t="s">
        <v>191</v>
      </c>
      <c r="E265" s="144" t="s">
        <v>28</v>
      </c>
      <c r="F265" s="144" t="s">
        <v>61</v>
      </c>
      <c r="G265" s="144">
        <v>22.0</v>
      </c>
      <c r="H265" s="144">
        <v>11.1</v>
      </c>
      <c r="I265" s="144">
        <v>244.2</v>
      </c>
    </row>
    <row r="266" ht="20.25" hidden="1" customHeight="1">
      <c r="A266" s="144">
        <v>2025.0</v>
      </c>
      <c r="B266" s="144">
        <v>12.0</v>
      </c>
      <c r="C266" s="144" t="s">
        <v>475</v>
      </c>
      <c r="D266" s="144" t="s">
        <v>191</v>
      </c>
      <c r="E266" s="144" t="s">
        <v>42</v>
      </c>
      <c r="F266" s="144" t="s">
        <v>61</v>
      </c>
      <c r="G266" s="144">
        <v>22.0</v>
      </c>
      <c r="H266" s="144">
        <v>5.5</v>
      </c>
      <c r="I266" s="144">
        <v>121.0</v>
      </c>
    </row>
    <row r="267" ht="20.25" hidden="1" customHeight="1">
      <c r="A267" s="144">
        <v>2025.0</v>
      </c>
      <c r="B267" s="144">
        <v>10.0</v>
      </c>
      <c r="C267" s="144" t="s">
        <v>95</v>
      </c>
      <c r="D267" s="144" t="s">
        <v>31</v>
      </c>
      <c r="E267" s="144" t="s">
        <v>31</v>
      </c>
      <c r="F267" s="144" t="s">
        <v>61</v>
      </c>
      <c r="G267" s="144">
        <v>22.0</v>
      </c>
      <c r="H267" s="144">
        <v>20.2</v>
      </c>
      <c r="I267" s="144">
        <v>444.4</v>
      </c>
    </row>
    <row r="268" ht="20.25" hidden="1" customHeight="1">
      <c r="A268" s="144">
        <v>2025.0</v>
      </c>
      <c r="B268" s="144">
        <v>11.0</v>
      </c>
      <c r="C268" s="144" t="s">
        <v>95</v>
      </c>
      <c r="D268" s="144" t="s">
        <v>31</v>
      </c>
      <c r="E268" s="144" t="s">
        <v>31</v>
      </c>
      <c r="F268" s="144" t="s">
        <v>61</v>
      </c>
      <c r="G268" s="144">
        <v>17.5</v>
      </c>
      <c r="H268" s="144">
        <v>20.2</v>
      </c>
      <c r="I268" s="144">
        <v>353.5</v>
      </c>
    </row>
    <row r="269" ht="20.25" hidden="1" customHeight="1">
      <c r="A269" s="144">
        <v>2025.0</v>
      </c>
      <c r="B269" s="144">
        <v>12.0</v>
      </c>
      <c r="C269" s="144" t="s">
        <v>95</v>
      </c>
      <c r="D269" s="144" t="s">
        <v>31</v>
      </c>
      <c r="E269" s="144" t="s">
        <v>31</v>
      </c>
      <c r="F269" s="144" t="s">
        <v>61</v>
      </c>
      <c r="G269" s="144">
        <v>10.0</v>
      </c>
      <c r="H269" s="144">
        <v>20.2</v>
      </c>
      <c r="I269" s="144">
        <v>202.0</v>
      </c>
    </row>
    <row r="270" ht="20.25" hidden="1" customHeight="1">
      <c r="A270" s="144">
        <v>2025.0</v>
      </c>
      <c r="B270" s="144">
        <v>12.0</v>
      </c>
      <c r="C270" s="144" t="s">
        <v>167</v>
      </c>
      <c r="D270" s="144" t="s">
        <v>168</v>
      </c>
      <c r="E270" s="144" t="s">
        <v>15</v>
      </c>
      <c r="F270" s="144" t="s">
        <v>61</v>
      </c>
      <c r="G270" s="144">
        <v>13.5</v>
      </c>
      <c r="H270" s="144">
        <v>18.5</v>
      </c>
      <c r="I270" s="144">
        <v>249.75</v>
      </c>
    </row>
    <row r="271" ht="20.25" hidden="1" customHeight="1">
      <c r="A271" s="144">
        <v>2025.0</v>
      </c>
      <c r="B271" s="144">
        <v>10.0</v>
      </c>
      <c r="C271" s="144" t="s">
        <v>476</v>
      </c>
      <c r="D271" s="144" t="s">
        <v>477</v>
      </c>
      <c r="E271" s="144" t="s">
        <v>43</v>
      </c>
      <c r="F271" s="144" t="s">
        <v>61</v>
      </c>
      <c r="G271" s="144">
        <v>19.0</v>
      </c>
      <c r="H271" s="144">
        <v>23.1</v>
      </c>
      <c r="I271" s="144">
        <v>438.9</v>
      </c>
    </row>
    <row r="272" ht="20.25" hidden="1" customHeight="1">
      <c r="A272" s="144">
        <v>2025.0</v>
      </c>
      <c r="B272" s="144">
        <v>10.0</v>
      </c>
      <c r="C272" s="144" t="s">
        <v>80</v>
      </c>
      <c r="D272" s="144" t="s">
        <v>81</v>
      </c>
      <c r="E272" s="144" t="s">
        <v>15</v>
      </c>
      <c r="F272" s="144" t="s">
        <v>61</v>
      </c>
      <c r="G272" s="144">
        <v>22.0</v>
      </c>
      <c r="H272" s="144">
        <v>4.7</v>
      </c>
      <c r="I272" s="144">
        <v>103.4</v>
      </c>
    </row>
    <row r="273" ht="20.25" hidden="1" customHeight="1">
      <c r="A273" s="144">
        <v>2025.0</v>
      </c>
      <c r="B273" s="144">
        <v>11.0</v>
      </c>
      <c r="C273" s="144" t="s">
        <v>476</v>
      </c>
      <c r="D273" s="144" t="s">
        <v>477</v>
      </c>
      <c r="E273" s="144" t="s">
        <v>43</v>
      </c>
      <c r="F273" s="144" t="s">
        <v>61</v>
      </c>
      <c r="G273" s="144">
        <v>19.0</v>
      </c>
      <c r="H273" s="144">
        <v>23.1</v>
      </c>
      <c r="I273" s="144">
        <v>438.9</v>
      </c>
    </row>
    <row r="274" ht="20.25" hidden="1" customHeight="1">
      <c r="A274" s="144">
        <v>2025.0</v>
      </c>
      <c r="B274" s="144">
        <v>11.0</v>
      </c>
      <c r="C274" s="144" t="s">
        <v>80</v>
      </c>
      <c r="D274" s="144" t="s">
        <v>81</v>
      </c>
      <c r="E274" s="144" t="s">
        <v>15</v>
      </c>
      <c r="F274" s="144" t="s">
        <v>61</v>
      </c>
      <c r="G274" s="144">
        <v>15.0</v>
      </c>
      <c r="H274" s="144">
        <v>4.7</v>
      </c>
      <c r="I274" s="144">
        <v>70.5</v>
      </c>
    </row>
    <row r="275" ht="20.25" hidden="1" customHeight="1">
      <c r="A275" s="144">
        <v>2025.0</v>
      </c>
      <c r="B275" s="144">
        <v>12.0</v>
      </c>
      <c r="C275" s="144" t="s">
        <v>476</v>
      </c>
      <c r="D275" s="144" t="s">
        <v>477</v>
      </c>
      <c r="E275" s="144" t="s">
        <v>43</v>
      </c>
      <c r="F275" s="144" t="s">
        <v>61</v>
      </c>
      <c r="G275" s="144">
        <v>18.0</v>
      </c>
      <c r="H275" s="144">
        <v>23.1</v>
      </c>
      <c r="I275" s="144">
        <v>415.8</v>
      </c>
    </row>
    <row r="276" ht="20.25" hidden="1" customHeight="1">
      <c r="A276" s="144">
        <v>2025.0</v>
      </c>
      <c r="B276" s="144">
        <v>12.0</v>
      </c>
      <c r="C276" s="144" t="s">
        <v>80</v>
      </c>
      <c r="D276" s="144" t="s">
        <v>81</v>
      </c>
      <c r="E276" s="144" t="s">
        <v>15</v>
      </c>
      <c r="F276" s="144" t="s">
        <v>61</v>
      </c>
      <c r="G276" s="144">
        <v>21.0</v>
      </c>
      <c r="H276" s="144">
        <v>4.7</v>
      </c>
      <c r="I276" s="144">
        <v>98.7</v>
      </c>
    </row>
    <row r="277" ht="20.25" hidden="1" customHeight="1">
      <c r="A277" s="144">
        <v>2025.0</v>
      </c>
      <c r="B277" s="144">
        <v>10.0</v>
      </c>
      <c r="C277" s="144" t="s">
        <v>188</v>
      </c>
      <c r="D277" s="144" t="s">
        <v>189</v>
      </c>
      <c r="E277" s="144" t="s">
        <v>15</v>
      </c>
      <c r="F277" s="144" t="s">
        <v>61</v>
      </c>
      <c r="G277" s="144">
        <v>23.0</v>
      </c>
      <c r="H277" s="144">
        <v>5.7</v>
      </c>
      <c r="I277" s="144">
        <v>131.1</v>
      </c>
    </row>
    <row r="278" ht="20.25" hidden="1" customHeight="1">
      <c r="A278" s="144">
        <v>2025.0</v>
      </c>
      <c r="B278" s="144">
        <v>11.0</v>
      </c>
      <c r="C278" s="144" t="s">
        <v>188</v>
      </c>
      <c r="D278" s="144" t="s">
        <v>189</v>
      </c>
      <c r="E278" s="144" t="s">
        <v>15</v>
      </c>
      <c r="F278" s="144" t="s">
        <v>61</v>
      </c>
      <c r="G278" s="144">
        <v>19.0</v>
      </c>
      <c r="H278" s="144">
        <v>5.7</v>
      </c>
      <c r="I278" s="144">
        <v>108.3</v>
      </c>
    </row>
    <row r="279" ht="20.25" hidden="1" customHeight="1">
      <c r="A279" s="144">
        <v>2025.0</v>
      </c>
      <c r="B279" s="144">
        <v>12.0</v>
      </c>
      <c r="C279" s="144" t="s">
        <v>188</v>
      </c>
      <c r="D279" s="144" t="s">
        <v>189</v>
      </c>
      <c r="E279" s="144" t="s">
        <v>15</v>
      </c>
      <c r="F279" s="144" t="s">
        <v>61</v>
      </c>
      <c r="G279" s="144">
        <v>21.0</v>
      </c>
      <c r="H279" s="144">
        <v>5.7</v>
      </c>
      <c r="I279" s="144">
        <v>119.7</v>
      </c>
    </row>
    <row r="280" ht="20.25" hidden="1" customHeight="1">
      <c r="A280" s="144">
        <v>2025.0</v>
      </c>
      <c r="B280" s="144">
        <v>10.0</v>
      </c>
      <c r="C280" s="144" t="s">
        <v>476</v>
      </c>
      <c r="D280" s="144" t="s">
        <v>477</v>
      </c>
      <c r="E280" s="144" t="s">
        <v>15</v>
      </c>
      <c r="F280" s="144" t="s">
        <v>61</v>
      </c>
      <c r="G280" s="144">
        <v>19.0</v>
      </c>
      <c r="H280" s="144">
        <v>23.1</v>
      </c>
      <c r="I280" s="144">
        <v>438.9</v>
      </c>
    </row>
    <row r="281" ht="20.25" hidden="1" customHeight="1">
      <c r="A281" s="144">
        <v>2025.0</v>
      </c>
      <c r="B281" s="144">
        <v>10.0</v>
      </c>
      <c r="C281" s="144" t="s">
        <v>478</v>
      </c>
      <c r="D281" s="144" t="s">
        <v>93</v>
      </c>
      <c r="E281" s="144" t="s">
        <v>31</v>
      </c>
      <c r="F281" s="144" t="s">
        <v>61</v>
      </c>
      <c r="G281" s="144">
        <v>22.0</v>
      </c>
      <c r="H281" s="144">
        <v>17.6</v>
      </c>
      <c r="I281" s="144">
        <v>387.2</v>
      </c>
    </row>
    <row r="282" ht="20.25" hidden="1" customHeight="1">
      <c r="A282" s="144">
        <v>2025.0</v>
      </c>
      <c r="B282" s="144">
        <v>11.0</v>
      </c>
      <c r="C282" s="144" t="s">
        <v>478</v>
      </c>
      <c r="D282" s="144" t="s">
        <v>93</v>
      </c>
      <c r="E282" s="144" t="s">
        <v>31</v>
      </c>
      <c r="F282" s="144" t="s">
        <v>61</v>
      </c>
      <c r="G282" s="144">
        <v>15.0</v>
      </c>
      <c r="H282" s="144">
        <v>17.6</v>
      </c>
      <c r="I282" s="144">
        <v>264.0</v>
      </c>
    </row>
    <row r="283" ht="20.25" hidden="1" customHeight="1">
      <c r="A283" s="144">
        <v>2025.0</v>
      </c>
      <c r="B283" s="144">
        <v>12.0</v>
      </c>
      <c r="C283" s="144" t="s">
        <v>478</v>
      </c>
      <c r="D283" s="144" t="s">
        <v>93</v>
      </c>
      <c r="E283" s="144" t="s">
        <v>31</v>
      </c>
      <c r="F283" s="144" t="s">
        <v>61</v>
      </c>
      <c r="G283" s="144">
        <v>17.0</v>
      </c>
      <c r="H283" s="144">
        <v>17.6</v>
      </c>
      <c r="I283" s="144">
        <v>299.2</v>
      </c>
    </row>
    <row r="284" ht="20.25" hidden="1" customHeight="1">
      <c r="A284" s="144">
        <v>2025.0</v>
      </c>
      <c r="B284" s="144">
        <v>10.0</v>
      </c>
      <c r="C284" s="144" t="s">
        <v>479</v>
      </c>
      <c r="D284" s="144" t="s">
        <v>32</v>
      </c>
      <c r="E284" s="144" t="s">
        <v>28</v>
      </c>
      <c r="F284" s="144" t="s">
        <v>61</v>
      </c>
      <c r="G284" s="144">
        <v>21.5</v>
      </c>
      <c r="H284" s="144">
        <v>27.8</v>
      </c>
      <c r="I284" s="144">
        <v>597.7</v>
      </c>
    </row>
    <row r="285" ht="20.25" hidden="1" customHeight="1">
      <c r="A285" s="144">
        <v>2025.0</v>
      </c>
      <c r="B285" s="144">
        <v>11.0</v>
      </c>
      <c r="C285" s="144" t="s">
        <v>479</v>
      </c>
      <c r="D285" s="144" t="s">
        <v>32</v>
      </c>
      <c r="E285" s="144" t="s">
        <v>28</v>
      </c>
      <c r="F285" s="144" t="s">
        <v>61</v>
      </c>
      <c r="G285" s="144">
        <v>19.0</v>
      </c>
      <c r="H285" s="144">
        <v>27.8</v>
      </c>
      <c r="I285" s="144">
        <v>528.2</v>
      </c>
    </row>
    <row r="286" ht="20.25" hidden="1" customHeight="1">
      <c r="A286" s="144">
        <v>2025.0</v>
      </c>
      <c r="B286" s="144">
        <v>12.0</v>
      </c>
      <c r="C286" s="144" t="s">
        <v>479</v>
      </c>
      <c r="D286" s="144" t="s">
        <v>32</v>
      </c>
      <c r="E286" s="144" t="s">
        <v>28</v>
      </c>
      <c r="F286" s="144" t="s">
        <v>61</v>
      </c>
      <c r="G286" s="144">
        <v>15.0</v>
      </c>
      <c r="H286" s="144">
        <v>27.8</v>
      </c>
      <c r="I286" s="144">
        <v>417.0</v>
      </c>
    </row>
    <row r="287" ht="20.25" hidden="1" customHeight="1">
      <c r="A287" s="144">
        <v>2025.0</v>
      </c>
      <c r="B287" s="144">
        <v>10.0</v>
      </c>
      <c r="C287" s="144" t="s">
        <v>201</v>
      </c>
      <c r="D287" s="144" t="s">
        <v>202</v>
      </c>
      <c r="E287" s="144" t="s">
        <v>35</v>
      </c>
      <c r="F287" s="144" t="s">
        <v>61</v>
      </c>
      <c r="G287" s="144">
        <v>3.0</v>
      </c>
      <c r="H287" s="144">
        <v>41.2</v>
      </c>
      <c r="I287" s="144">
        <v>123.6</v>
      </c>
    </row>
    <row r="288" ht="20.25" hidden="1" customHeight="1">
      <c r="A288" s="144">
        <v>2025.0</v>
      </c>
      <c r="B288" s="144">
        <v>10.0</v>
      </c>
      <c r="C288" s="144" t="s">
        <v>201</v>
      </c>
      <c r="D288" s="144" t="s">
        <v>202</v>
      </c>
      <c r="E288" s="144" t="s">
        <v>35</v>
      </c>
      <c r="F288" s="144" t="s">
        <v>61</v>
      </c>
      <c r="G288" s="144">
        <v>13.5</v>
      </c>
      <c r="H288" s="144">
        <v>41.2</v>
      </c>
      <c r="I288" s="144">
        <v>556.2</v>
      </c>
    </row>
    <row r="289" ht="20.25" hidden="1" customHeight="1">
      <c r="A289" s="144">
        <v>2025.0</v>
      </c>
      <c r="B289" s="144">
        <v>11.0</v>
      </c>
      <c r="C289" s="144" t="s">
        <v>201</v>
      </c>
      <c r="D289" s="144" t="s">
        <v>202</v>
      </c>
      <c r="E289" s="144" t="s">
        <v>35</v>
      </c>
      <c r="F289" s="144" t="s">
        <v>61</v>
      </c>
      <c r="G289" s="144">
        <v>17.0</v>
      </c>
      <c r="H289" s="144">
        <v>41.2</v>
      </c>
      <c r="I289" s="144">
        <v>700.4</v>
      </c>
    </row>
    <row r="290" ht="20.25" hidden="1" customHeight="1">
      <c r="A290" s="144">
        <v>2025.0</v>
      </c>
      <c r="B290" s="144">
        <v>12.0</v>
      </c>
      <c r="C290" s="144" t="s">
        <v>201</v>
      </c>
      <c r="D290" s="144" t="s">
        <v>202</v>
      </c>
      <c r="E290" s="144" t="s">
        <v>35</v>
      </c>
      <c r="F290" s="144" t="s">
        <v>61</v>
      </c>
      <c r="G290" s="144">
        <v>18.0</v>
      </c>
      <c r="H290" s="144">
        <v>41.2</v>
      </c>
      <c r="I290" s="144">
        <v>741.6</v>
      </c>
    </row>
    <row r="291" ht="20.25" hidden="1" customHeight="1">
      <c r="A291" s="144">
        <v>2025.0</v>
      </c>
      <c r="B291" s="144">
        <v>11.0</v>
      </c>
      <c r="C291" s="144" t="s">
        <v>476</v>
      </c>
      <c r="D291" s="144" t="s">
        <v>477</v>
      </c>
      <c r="E291" s="144" t="s">
        <v>15</v>
      </c>
      <c r="F291" s="144" t="s">
        <v>61</v>
      </c>
      <c r="G291" s="144">
        <v>19.0</v>
      </c>
      <c r="H291" s="144">
        <v>23.1</v>
      </c>
      <c r="I291" s="144">
        <v>438.9</v>
      </c>
    </row>
    <row r="292" ht="20.25" hidden="1" customHeight="1">
      <c r="A292" s="144">
        <v>2025.0</v>
      </c>
      <c r="B292" s="144">
        <v>10.0</v>
      </c>
      <c r="C292" s="144" t="s">
        <v>205</v>
      </c>
      <c r="D292" s="144" t="s">
        <v>33</v>
      </c>
      <c r="E292" s="144" t="s">
        <v>44</v>
      </c>
      <c r="F292" s="144" t="s">
        <v>61</v>
      </c>
      <c r="G292" s="144">
        <v>23.0</v>
      </c>
      <c r="H292" s="144">
        <v>17.2</v>
      </c>
      <c r="I292" s="144">
        <v>395.6</v>
      </c>
    </row>
    <row r="293" ht="20.25" hidden="1" customHeight="1">
      <c r="A293" s="144">
        <v>2025.0</v>
      </c>
      <c r="B293" s="144">
        <v>12.0</v>
      </c>
      <c r="C293" s="144" t="s">
        <v>476</v>
      </c>
      <c r="D293" s="144" t="s">
        <v>477</v>
      </c>
      <c r="E293" s="144" t="s">
        <v>15</v>
      </c>
      <c r="F293" s="144" t="s">
        <v>61</v>
      </c>
      <c r="G293" s="144">
        <v>18.0</v>
      </c>
      <c r="H293" s="144">
        <v>23.1</v>
      </c>
      <c r="I293" s="144">
        <v>415.8</v>
      </c>
    </row>
    <row r="294" ht="20.25" hidden="1" customHeight="1">
      <c r="A294" s="144">
        <v>2025.0</v>
      </c>
      <c r="B294" s="144">
        <v>11.0</v>
      </c>
      <c r="C294" s="144" t="s">
        <v>205</v>
      </c>
      <c r="D294" s="144" t="s">
        <v>33</v>
      </c>
      <c r="E294" s="144" t="s">
        <v>44</v>
      </c>
      <c r="F294" s="144" t="s">
        <v>61</v>
      </c>
      <c r="G294" s="144">
        <v>21.0</v>
      </c>
      <c r="H294" s="144">
        <v>17.2</v>
      </c>
      <c r="I294" s="144">
        <v>361.2</v>
      </c>
    </row>
    <row r="295" ht="20.25" hidden="1" customHeight="1">
      <c r="A295" s="144">
        <v>2025.0</v>
      </c>
      <c r="B295" s="144">
        <v>10.0</v>
      </c>
      <c r="C295" s="144" t="s">
        <v>192</v>
      </c>
      <c r="D295" s="144" t="s">
        <v>193</v>
      </c>
      <c r="E295" s="144" t="s">
        <v>15</v>
      </c>
      <c r="F295" s="144" t="s">
        <v>61</v>
      </c>
      <c r="G295" s="144">
        <v>1.0</v>
      </c>
      <c r="H295" s="144">
        <v>10.0</v>
      </c>
      <c r="I295" s="144">
        <v>10.0</v>
      </c>
    </row>
    <row r="296" ht="20.25" hidden="1" customHeight="1">
      <c r="A296" s="144">
        <v>2025.0</v>
      </c>
      <c r="B296" s="144">
        <v>10.0</v>
      </c>
      <c r="C296" s="144" t="s">
        <v>192</v>
      </c>
      <c r="D296" s="144" t="s">
        <v>193</v>
      </c>
      <c r="E296" s="144" t="s">
        <v>15</v>
      </c>
      <c r="F296" s="144" t="s">
        <v>61</v>
      </c>
      <c r="G296" s="144">
        <v>2.0</v>
      </c>
      <c r="H296" s="144">
        <v>10.0</v>
      </c>
      <c r="I296" s="144">
        <v>20.0</v>
      </c>
    </row>
    <row r="297" ht="20.25" hidden="1" customHeight="1">
      <c r="A297" s="144">
        <v>2025.0</v>
      </c>
      <c r="B297" s="144">
        <v>10.0</v>
      </c>
      <c r="C297" s="144" t="s">
        <v>192</v>
      </c>
      <c r="D297" s="144" t="s">
        <v>193</v>
      </c>
      <c r="E297" s="144" t="s">
        <v>15</v>
      </c>
      <c r="F297" s="144" t="s">
        <v>61</v>
      </c>
      <c r="G297" s="144">
        <v>15.0</v>
      </c>
      <c r="H297" s="144">
        <v>10.0</v>
      </c>
      <c r="I297" s="144">
        <v>150.0</v>
      </c>
    </row>
    <row r="298" ht="20.25" hidden="1" customHeight="1">
      <c r="A298" s="144">
        <v>2025.0</v>
      </c>
      <c r="B298" s="144">
        <v>12.0</v>
      </c>
      <c r="C298" s="144" t="s">
        <v>205</v>
      </c>
      <c r="D298" s="144" t="s">
        <v>33</v>
      </c>
      <c r="E298" s="144" t="s">
        <v>44</v>
      </c>
      <c r="F298" s="144" t="s">
        <v>61</v>
      </c>
      <c r="G298" s="144">
        <v>5.0</v>
      </c>
      <c r="H298" s="144">
        <v>17.2</v>
      </c>
      <c r="I298" s="144">
        <v>86.0</v>
      </c>
    </row>
    <row r="299" ht="20.25" hidden="1" customHeight="1">
      <c r="A299" s="144">
        <v>2025.0</v>
      </c>
      <c r="B299" s="144">
        <v>12.0</v>
      </c>
      <c r="C299" s="144" t="s">
        <v>205</v>
      </c>
      <c r="D299" s="144" t="s">
        <v>33</v>
      </c>
      <c r="E299" s="144" t="s">
        <v>44</v>
      </c>
      <c r="F299" s="144" t="s">
        <v>61</v>
      </c>
      <c r="G299" s="144">
        <v>6.0</v>
      </c>
      <c r="H299" s="144">
        <v>17.2</v>
      </c>
      <c r="I299" s="144">
        <v>103.2</v>
      </c>
    </row>
    <row r="300" ht="20.25" hidden="1" customHeight="1">
      <c r="A300" s="144">
        <v>2025.0</v>
      </c>
      <c r="B300" s="144">
        <v>12.0</v>
      </c>
      <c r="C300" s="144" t="s">
        <v>205</v>
      </c>
      <c r="D300" s="144" t="s">
        <v>33</v>
      </c>
      <c r="E300" s="144" t="s">
        <v>44</v>
      </c>
      <c r="F300" s="144" t="s">
        <v>61</v>
      </c>
      <c r="G300" s="144">
        <v>13.0</v>
      </c>
      <c r="H300" s="144">
        <v>17.2</v>
      </c>
      <c r="I300" s="144">
        <v>223.6</v>
      </c>
    </row>
    <row r="301" ht="20.25" hidden="1" customHeight="1">
      <c r="A301" s="144">
        <v>2025.0</v>
      </c>
      <c r="B301" s="144">
        <v>10.0</v>
      </c>
      <c r="C301" s="144" t="s">
        <v>95</v>
      </c>
      <c r="D301" s="144" t="s">
        <v>96</v>
      </c>
      <c r="E301" s="144" t="s">
        <v>31</v>
      </c>
      <c r="F301" s="144" t="s">
        <v>61</v>
      </c>
      <c r="G301" s="144">
        <v>16.5</v>
      </c>
      <c r="H301" s="144">
        <v>10.0</v>
      </c>
      <c r="I301" s="144">
        <v>165.0</v>
      </c>
    </row>
    <row r="302" ht="20.25" hidden="1" customHeight="1">
      <c r="A302" s="144">
        <v>2025.0</v>
      </c>
      <c r="B302" s="144">
        <v>11.0</v>
      </c>
      <c r="C302" s="144" t="s">
        <v>95</v>
      </c>
      <c r="D302" s="144" t="s">
        <v>96</v>
      </c>
      <c r="E302" s="144" t="s">
        <v>31</v>
      </c>
      <c r="F302" s="144" t="s">
        <v>61</v>
      </c>
      <c r="G302" s="144">
        <v>18.0</v>
      </c>
      <c r="H302" s="144">
        <v>10.0</v>
      </c>
      <c r="I302" s="144">
        <v>180.0</v>
      </c>
    </row>
    <row r="303" ht="20.25" hidden="1" customHeight="1">
      <c r="A303" s="144">
        <v>2025.0</v>
      </c>
      <c r="B303" s="144">
        <v>12.0</v>
      </c>
      <c r="C303" s="144" t="s">
        <v>95</v>
      </c>
      <c r="D303" s="144" t="s">
        <v>96</v>
      </c>
      <c r="E303" s="144" t="s">
        <v>31</v>
      </c>
      <c r="F303" s="144" t="s">
        <v>61</v>
      </c>
      <c r="G303" s="144">
        <v>20.0</v>
      </c>
      <c r="H303" s="144">
        <v>10.0</v>
      </c>
      <c r="I303" s="144">
        <v>200.0</v>
      </c>
    </row>
    <row r="304" ht="20.25" hidden="1" customHeight="1">
      <c r="A304" s="144">
        <v>2025.0</v>
      </c>
      <c r="B304" s="144">
        <v>10.0</v>
      </c>
      <c r="C304" s="144" t="s">
        <v>69</v>
      </c>
      <c r="D304" s="144" t="s">
        <v>70</v>
      </c>
      <c r="E304" s="144" t="s">
        <v>17</v>
      </c>
      <c r="F304" s="144" t="s">
        <v>61</v>
      </c>
      <c r="G304" s="144">
        <v>10.0</v>
      </c>
      <c r="H304" s="144">
        <v>4.5</v>
      </c>
      <c r="I304" s="144">
        <v>45.0</v>
      </c>
    </row>
    <row r="305" ht="20.25" hidden="1" customHeight="1">
      <c r="A305" s="144">
        <v>2025.0</v>
      </c>
      <c r="B305" s="144">
        <v>11.0</v>
      </c>
      <c r="C305" s="144" t="s">
        <v>69</v>
      </c>
      <c r="D305" s="144" t="s">
        <v>70</v>
      </c>
      <c r="E305" s="144" t="s">
        <v>17</v>
      </c>
      <c r="F305" s="144" t="s">
        <v>61</v>
      </c>
      <c r="G305" s="144">
        <v>17.0</v>
      </c>
      <c r="H305" s="144">
        <v>4.5</v>
      </c>
      <c r="I305" s="144">
        <v>76.5</v>
      </c>
    </row>
    <row r="306" ht="20.25" hidden="1" customHeight="1">
      <c r="A306" s="144">
        <v>2025.0</v>
      </c>
      <c r="B306" s="144">
        <v>12.0</v>
      </c>
      <c r="C306" s="144" t="s">
        <v>69</v>
      </c>
      <c r="D306" s="144" t="s">
        <v>70</v>
      </c>
      <c r="E306" s="144" t="s">
        <v>17</v>
      </c>
      <c r="F306" s="144" t="s">
        <v>61</v>
      </c>
      <c r="G306" s="144">
        <v>18.0</v>
      </c>
      <c r="H306" s="144">
        <v>4.5</v>
      </c>
      <c r="I306" s="144">
        <v>81.0</v>
      </c>
    </row>
    <row r="307" ht="20.25" hidden="1" customHeight="1">
      <c r="A307" s="144">
        <v>2025.0</v>
      </c>
      <c r="B307" s="144">
        <v>10.0</v>
      </c>
      <c r="C307" s="144" t="s">
        <v>208</v>
      </c>
      <c r="D307" s="144" t="s">
        <v>207</v>
      </c>
      <c r="E307" s="144" t="s">
        <v>28</v>
      </c>
      <c r="F307" s="144" t="s">
        <v>61</v>
      </c>
      <c r="G307" s="144">
        <v>18.0</v>
      </c>
      <c r="H307" s="144">
        <v>0.01</v>
      </c>
      <c r="I307" s="144">
        <v>0.18</v>
      </c>
    </row>
    <row r="308" ht="20.25" hidden="1" customHeight="1">
      <c r="A308" s="144">
        <v>2025.0</v>
      </c>
      <c r="B308" s="144">
        <v>11.0</v>
      </c>
      <c r="C308" s="144" t="s">
        <v>192</v>
      </c>
      <c r="D308" s="144" t="s">
        <v>193</v>
      </c>
      <c r="E308" s="144" t="s">
        <v>15</v>
      </c>
      <c r="F308" s="144" t="s">
        <v>61</v>
      </c>
      <c r="G308" s="144">
        <v>18.0</v>
      </c>
      <c r="H308" s="144">
        <v>10.0</v>
      </c>
      <c r="I308" s="144">
        <v>180.0</v>
      </c>
    </row>
    <row r="309" ht="20.25" hidden="1" customHeight="1">
      <c r="A309" s="144">
        <v>2025.0</v>
      </c>
      <c r="B309" s="144">
        <v>11.0</v>
      </c>
      <c r="C309" s="144" t="s">
        <v>208</v>
      </c>
      <c r="D309" s="144" t="s">
        <v>207</v>
      </c>
      <c r="E309" s="144" t="s">
        <v>28</v>
      </c>
      <c r="F309" s="144" t="s">
        <v>61</v>
      </c>
      <c r="G309" s="144">
        <v>18.0</v>
      </c>
      <c r="H309" s="144">
        <v>0.01</v>
      </c>
      <c r="I309" s="144">
        <v>0.18</v>
      </c>
    </row>
    <row r="310" ht="20.25" hidden="1" customHeight="1">
      <c r="A310" s="144">
        <v>2025.0</v>
      </c>
      <c r="B310" s="144">
        <v>11.0</v>
      </c>
      <c r="C310" s="144" t="s">
        <v>62</v>
      </c>
      <c r="D310" s="144" t="s">
        <v>207</v>
      </c>
      <c r="E310" s="144" t="s">
        <v>35</v>
      </c>
      <c r="F310" s="144" t="s">
        <v>61</v>
      </c>
      <c r="G310" s="144">
        <v>12.0</v>
      </c>
      <c r="H310" s="144">
        <v>9.5</v>
      </c>
      <c r="I310" s="144">
        <v>114.0</v>
      </c>
    </row>
    <row r="311" ht="20.25" hidden="1" customHeight="1">
      <c r="A311" s="144">
        <v>2025.0</v>
      </c>
      <c r="B311" s="144">
        <v>12.0</v>
      </c>
      <c r="C311" s="144" t="s">
        <v>192</v>
      </c>
      <c r="D311" s="144" t="s">
        <v>193</v>
      </c>
      <c r="E311" s="144" t="s">
        <v>15</v>
      </c>
      <c r="F311" s="144" t="s">
        <v>61</v>
      </c>
      <c r="G311" s="144">
        <v>15.0</v>
      </c>
      <c r="H311" s="144">
        <v>10.0</v>
      </c>
      <c r="I311" s="144">
        <v>150.0</v>
      </c>
    </row>
    <row r="312" ht="20.25" hidden="1" customHeight="1">
      <c r="A312" s="144">
        <v>2025.0</v>
      </c>
      <c r="B312" s="144">
        <v>12.0</v>
      </c>
      <c r="C312" s="144" t="s">
        <v>208</v>
      </c>
      <c r="D312" s="144" t="s">
        <v>207</v>
      </c>
      <c r="E312" s="144" t="s">
        <v>28</v>
      </c>
      <c r="F312" s="144" t="s">
        <v>61</v>
      </c>
      <c r="G312" s="144">
        <v>18.0</v>
      </c>
      <c r="H312" s="144">
        <v>0.01</v>
      </c>
      <c r="I312" s="144">
        <v>0.18</v>
      </c>
    </row>
    <row r="313" ht="20.25" hidden="1" customHeight="1">
      <c r="A313" s="144">
        <v>2025.0</v>
      </c>
      <c r="B313" s="144">
        <v>12.0</v>
      </c>
      <c r="C313" s="144" t="s">
        <v>62</v>
      </c>
      <c r="D313" s="144" t="s">
        <v>207</v>
      </c>
      <c r="E313" s="144" t="s">
        <v>35</v>
      </c>
      <c r="F313" s="144" t="s">
        <v>61</v>
      </c>
      <c r="G313" s="144">
        <v>17.5</v>
      </c>
      <c r="H313" s="144">
        <v>9.5</v>
      </c>
      <c r="I313" s="144">
        <v>166.25</v>
      </c>
    </row>
    <row r="314" ht="20.25" hidden="1" customHeight="1">
      <c r="A314" s="144">
        <v>2025.0</v>
      </c>
      <c r="B314" s="144">
        <v>10.0</v>
      </c>
      <c r="C314" s="144" t="s">
        <v>210</v>
      </c>
      <c r="D314" s="144" t="s">
        <v>211</v>
      </c>
      <c r="E314" s="144" t="s">
        <v>17</v>
      </c>
      <c r="F314" s="144" t="s">
        <v>61</v>
      </c>
      <c r="G314" s="144">
        <v>23.0</v>
      </c>
      <c r="H314" s="144">
        <v>22.0</v>
      </c>
      <c r="I314" s="144">
        <v>506.0</v>
      </c>
    </row>
    <row r="315" ht="20.25" hidden="1" customHeight="1">
      <c r="A315" s="144">
        <v>2025.0</v>
      </c>
      <c r="B315" s="144">
        <v>11.0</v>
      </c>
      <c r="C315" s="144" t="s">
        <v>210</v>
      </c>
      <c r="D315" s="144" t="s">
        <v>211</v>
      </c>
      <c r="E315" s="144" t="s">
        <v>17</v>
      </c>
      <c r="F315" s="144" t="s">
        <v>61</v>
      </c>
      <c r="G315" s="144">
        <v>18.0</v>
      </c>
      <c r="H315" s="144">
        <v>22.0</v>
      </c>
      <c r="I315" s="144">
        <v>396.0</v>
      </c>
    </row>
    <row r="316" ht="20.25" hidden="1" customHeight="1">
      <c r="A316" s="144">
        <v>2025.0</v>
      </c>
      <c r="B316" s="144">
        <v>12.0</v>
      </c>
      <c r="C316" s="144" t="s">
        <v>210</v>
      </c>
      <c r="D316" s="144" t="s">
        <v>211</v>
      </c>
      <c r="E316" s="144" t="s">
        <v>17</v>
      </c>
      <c r="F316" s="144" t="s">
        <v>61</v>
      </c>
      <c r="G316" s="144">
        <v>10.5</v>
      </c>
      <c r="H316" s="144">
        <v>22.0</v>
      </c>
      <c r="I316" s="144">
        <v>231.0</v>
      </c>
    </row>
    <row r="317" ht="20.25" hidden="1" customHeight="1">
      <c r="A317" s="144">
        <v>2025.0</v>
      </c>
      <c r="B317" s="144">
        <v>10.0</v>
      </c>
      <c r="C317" s="144" t="s">
        <v>480</v>
      </c>
      <c r="D317" s="144" t="s">
        <v>212</v>
      </c>
      <c r="E317" s="144" t="s">
        <v>28</v>
      </c>
      <c r="F317" s="144" t="s">
        <v>61</v>
      </c>
      <c r="G317" s="144">
        <v>21.0</v>
      </c>
      <c r="H317" s="144">
        <v>15.7</v>
      </c>
      <c r="I317" s="144">
        <v>329.7</v>
      </c>
    </row>
    <row r="318" ht="20.25" hidden="1" customHeight="1">
      <c r="A318" s="144">
        <v>2025.0</v>
      </c>
      <c r="B318" s="144">
        <v>11.0</v>
      </c>
      <c r="C318" s="144" t="s">
        <v>480</v>
      </c>
      <c r="D318" s="144" t="s">
        <v>212</v>
      </c>
      <c r="E318" s="144" t="s">
        <v>28</v>
      </c>
      <c r="F318" s="144" t="s">
        <v>61</v>
      </c>
      <c r="G318" s="144">
        <v>14.0</v>
      </c>
      <c r="H318" s="144">
        <v>15.7</v>
      </c>
      <c r="I318" s="144">
        <v>219.8</v>
      </c>
    </row>
    <row r="319" ht="20.25" hidden="1" customHeight="1">
      <c r="A319" s="144">
        <v>2025.0</v>
      </c>
      <c r="B319" s="144">
        <v>12.0</v>
      </c>
      <c r="C319" s="144" t="s">
        <v>480</v>
      </c>
      <c r="D319" s="144" t="s">
        <v>212</v>
      </c>
      <c r="E319" s="144" t="s">
        <v>28</v>
      </c>
      <c r="F319" s="144" t="s">
        <v>61</v>
      </c>
      <c r="G319" s="144">
        <v>12.0</v>
      </c>
      <c r="H319" s="144">
        <v>15.7</v>
      </c>
      <c r="I319" s="144">
        <v>188.4</v>
      </c>
    </row>
    <row r="320" ht="20.25" hidden="1" customHeight="1">
      <c r="A320" s="144">
        <v>2025.0</v>
      </c>
      <c r="B320" s="144">
        <v>10.0</v>
      </c>
      <c r="C320" s="144" t="s">
        <v>213</v>
      </c>
      <c r="D320" s="144" t="s">
        <v>214</v>
      </c>
      <c r="E320" s="144" t="s">
        <v>28</v>
      </c>
      <c r="F320" s="144" t="s">
        <v>61</v>
      </c>
      <c r="G320" s="144">
        <v>23.0</v>
      </c>
      <c r="H320" s="144">
        <v>46.5</v>
      </c>
      <c r="I320" s="144">
        <v>1069.5</v>
      </c>
    </row>
    <row r="321" ht="20.25" hidden="1" customHeight="1">
      <c r="A321" s="144">
        <v>2025.0</v>
      </c>
      <c r="B321" s="144">
        <v>11.0</v>
      </c>
      <c r="C321" s="144" t="s">
        <v>213</v>
      </c>
      <c r="D321" s="144" t="s">
        <v>214</v>
      </c>
      <c r="E321" s="144" t="s">
        <v>28</v>
      </c>
      <c r="F321" s="144" t="s">
        <v>61</v>
      </c>
      <c r="G321" s="144">
        <v>18.0</v>
      </c>
      <c r="H321" s="144">
        <v>46.5</v>
      </c>
      <c r="I321" s="144">
        <v>837.0</v>
      </c>
    </row>
    <row r="322" ht="20.25" hidden="1" customHeight="1">
      <c r="A322" s="144">
        <v>2025.0</v>
      </c>
      <c r="B322" s="144">
        <v>12.0</v>
      </c>
      <c r="C322" s="144" t="s">
        <v>213</v>
      </c>
      <c r="D322" s="144" t="s">
        <v>214</v>
      </c>
      <c r="E322" s="144" t="s">
        <v>28</v>
      </c>
      <c r="F322" s="144" t="s">
        <v>61</v>
      </c>
      <c r="G322" s="144">
        <v>21.0</v>
      </c>
      <c r="H322" s="144">
        <v>46.5</v>
      </c>
      <c r="I322" s="144">
        <v>976.5</v>
      </c>
    </row>
    <row r="323" ht="20.25" hidden="1" customHeight="1">
      <c r="A323" s="144">
        <v>2025.0</v>
      </c>
      <c r="B323" s="144">
        <v>10.0</v>
      </c>
      <c r="C323" s="144" t="s">
        <v>205</v>
      </c>
      <c r="D323" s="144" t="s">
        <v>33</v>
      </c>
      <c r="E323" s="144" t="s">
        <v>15</v>
      </c>
      <c r="F323" s="144" t="s">
        <v>61</v>
      </c>
      <c r="G323" s="144">
        <v>23.0</v>
      </c>
      <c r="H323" s="144">
        <v>33.5</v>
      </c>
      <c r="I323" s="144">
        <v>770.5</v>
      </c>
    </row>
    <row r="324" ht="20.25" hidden="1" customHeight="1">
      <c r="A324" s="144">
        <v>2025.0</v>
      </c>
      <c r="B324" s="144">
        <v>11.0</v>
      </c>
      <c r="C324" s="144" t="s">
        <v>205</v>
      </c>
      <c r="D324" s="144" t="s">
        <v>33</v>
      </c>
      <c r="E324" s="144" t="s">
        <v>15</v>
      </c>
      <c r="F324" s="144" t="s">
        <v>61</v>
      </c>
      <c r="G324" s="144">
        <v>21.0</v>
      </c>
      <c r="H324" s="144">
        <v>33.5</v>
      </c>
      <c r="I324" s="144">
        <v>703.5</v>
      </c>
    </row>
    <row r="325" ht="20.25" hidden="1" customHeight="1">
      <c r="A325" s="144">
        <v>2025.0</v>
      </c>
      <c r="B325" s="144">
        <v>12.0</v>
      </c>
      <c r="C325" s="144" t="s">
        <v>205</v>
      </c>
      <c r="D325" s="144" t="s">
        <v>33</v>
      </c>
      <c r="E325" s="144" t="s">
        <v>15</v>
      </c>
      <c r="F325" s="144" t="s">
        <v>61</v>
      </c>
      <c r="G325" s="144">
        <v>5.0</v>
      </c>
      <c r="H325" s="144">
        <v>33.5</v>
      </c>
      <c r="I325" s="144">
        <v>167.5</v>
      </c>
    </row>
    <row r="326" ht="20.25" hidden="1" customHeight="1">
      <c r="A326" s="144">
        <v>2025.0</v>
      </c>
      <c r="B326" s="144">
        <v>12.0</v>
      </c>
      <c r="C326" s="144" t="s">
        <v>205</v>
      </c>
      <c r="D326" s="144" t="s">
        <v>33</v>
      </c>
      <c r="E326" s="144" t="s">
        <v>15</v>
      </c>
      <c r="F326" s="144" t="s">
        <v>61</v>
      </c>
      <c r="G326" s="144">
        <v>6.0</v>
      </c>
      <c r="H326" s="144">
        <v>33.5</v>
      </c>
      <c r="I326" s="144">
        <v>201.0</v>
      </c>
    </row>
    <row r="327" ht="20.25" hidden="1" customHeight="1">
      <c r="A327" s="144">
        <v>2025.0</v>
      </c>
      <c r="B327" s="144">
        <v>12.0</v>
      </c>
      <c r="C327" s="144" t="s">
        <v>62</v>
      </c>
      <c r="D327" s="144" t="s">
        <v>215</v>
      </c>
      <c r="E327" s="144" t="s">
        <v>35</v>
      </c>
      <c r="F327" s="144" t="s">
        <v>61</v>
      </c>
      <c r="G327" s="144">
        <v>19.0</v>
      </c>
      <c r="H327" s="144">
        <v>4.3</v>
      </c>
      <c r="I327" s="144">
        <v>81.7</v>
      </c>
    </row>
    <row r="328" ht="20.25" hidden="1" customHeight="1">
      <c r="A328" s="144">
        <v>2025.0</v>
      </c>
      <c r="B328" s="144">
        <v>12.0</v>
      </c>
      <c r="C328" s="144" t="s">
        <v>205</v>
      </c>
      <c r="D328" s="144" t="s">
        <v>33</v>
      </c>
      <c r="E328" s="144" t="s">
        <v>15</v>
      </c>
      <c r="F328" s="144" t="s">
        <v>61</v>
      </c>
      <c r="G328" s="144">
        <v>13.0</v>
      </c>
      <c r="H328" s="144">
        <v>33.5</v>
      </c>
      <c r="I328" s="144">
        <v>435.5</v>
      </c>
    </row>
    <row r="329" ht="20.25" hidden="1" customHeight="1">
      <c r="A329" s="144">
        <v>2025.0</v>
      </c>
      <c r="B329" s="144">
        <v>11.0</v>
      </c>
      <c r="C329" s="144" t="s">
        <v>62</v>
      </c>
      <c r="D329" s="144" t="s">
        <v>216</v>
      </c>
      <c r="E329" s="144" t="s">
        <v>35</v>
      </c>
      <c r="F329" s="144" t="s">
        <v>61</v>
      </c>
      <c r="G329" s="144">
        <v>12.0</v>
      </c>
      <c r="H329" s="144">
        <v>13.0</v>
      </c>
      <c r="I329" s="144">
        <v>156.0</v>
      </c>
    </row>
    <row r="330" ht="20.25" hidden="1" customHeight="1">
      <c r="A330" s="144">
        <v>2025.0</v>
      </c>
      <c r="B330" s="144">
        <v>10.0</v>
      </c>
      <c r="C330" s="144" t="s">
        <v>481</v>
      </c>
      <c r="D330" s="144" t="s">
        <v>215</v>
      </c>
      <c r="E330" s="144" t="s">
        <v>15</v>
      </c>
      <c r="F330" s="144" t="s">
        <v>61</v>
      </c>
      <c r="G330" s="144">
        <v>19.5</v>
      </c>
      <c r="H330" s="144">
        <v>18.0</v>
      </c>
      <c r="I330" s="144">
        <v>351.0</v>
      </c>
    </row>
    <row r="331" ht="20.25" hidden="1" customHeight="1">
      <c r="A331" s="144">
        <v>2025.0</v>
      </c>
      <c r="B331" s="144">
        <v>12.0</v>
      </c>
      <c r="C331" s="144" t="s">
        <v>62</v>
      </c>
      <c r="D331" s="144" t="s">
        <v>216</v>
      </c>
      <c r="E331" s="144" t="s">
        <v>35</v>
      </c>
      <c r="F331" s="144" t="s">
        <v>61</v>
      </c>
      <c r="G331" s="144">
        <v>20.0</v>
      </c>
      <c r="H331" s="144">
        <v>13.0</v>
      </c>
      <c r="I331" s="144">
        <v>260.0</v>
      </c>
    </row>
    <row r="332" ht="20.25" hidden="1" customHeight="1">
      <c r="A332" s="144">
        <v>2025.0</v>
      </c>
      <c r="B332" s="144">
        <v>10.0</v>
      </c>
      <c r="C332" s="144" t="s">
        <v>217</v>
      </c>
      <c r="D332" s="144" t="s">
        <v>34</v>
      </c>
      <c r="E332" s="144" t="s">
        <v>34</v>
      </c>
      <c r="F332" s="144" t="s">
        <v>61</v>
      </c>
      <c r="G332" s="144">
        <v>5.0</v>
      </c>
      <c r="H332" s="144">
        <v>57.2</v>
      </c>
      <c r="I332" s="144">
        <v>286.0</v>
      </c>
    </row>
    <row r="333" ht="20.25" hidden="1" customHeight="1">
      <c r="A333" s="144">
        <v>2025.0</v>
      </c>
      <c r="B333" s="144">
        <v>10.0</v>
      </c>
      <c r="C333" s="144" t="s">
        <v>218</v>
      </c>
      <c r="D333" s="144" t="s">
        <v>34</v>
      </c>
      <c r="E333" s="144" t="s">
        <v>34</v>
      </c>
      <c r="F333" s="144" t="s">
        <v>61</v>
      </c>
      <c r="G333" s="144">
        <v>16.0</v>
      </c>
      <c r="H333" s="144">
        <v>57.2</v>
      </c>
      <c r="I333" s="144">
        <v>915.2</v>
      </c>
    </row>
    <row r="334" ht="20.25" hidden="1" customHeight="1">
      <c r="A334" s="144">
        <v>2025.0</v>
      </c>
      <c r="B334" s="144">
        <v>11.0</v>
      </c>
      <c r="C334" s="144" t="s">
        <v>217</v>
      </c>
      <c r="D334" s="144" t="s">
        <v>34</v>
      </c>
      <c r="E334" s="144" t="s">
        <v>34</v>
      </c>
      <c r="F334" s="144" t="s">
        <v>61</v>
      </c>
      <c r="G334" s="144">
        <v>2.0</v>
      </c>
      <c r="H334" s="144">
        <v>57.2</v>
      </c>
      <c r="I334" s="144">
        <v>114.4</v>
      </c>
    </row>
    <row r="335" ht="20.25" hidden="1" customHeight="1">
      <c r="A335" s="144">
        <v>2025.0</v>
      </c>
      <c r="B335" s="144">
        <v>11.0</v>
      </c>
      <c r="C335" s="144" t="s">
        <v>218</v>
      </c>
      <c r="D335" s="144" t="s">
        <v>34</v>
      </c>
      <c r="E335" s="144" t="s">
        <v>34</v>
      </c>
      <c r="F335" s="144" t="s">
        <v>61</v>
      </c>
      <c r="G335" s="144">
        <v>9.0</v>
      </c>
      <c r="H335" s="144">
        <v>57.2</v>
      </c>
      <c r="I335" s="144">
        <v>514.8</v>
      </c>
    </row>
    <row r="336" ht="20.25" hidden="1" customHeight="1">
      <c r="A336" s="144">
        <v>2025.0</v>
      </c>
      <c r="B336" s="144">
        <v>12.0</v>
      </c>
      <c r="C336" s="144" t="s">
        <v>217</v>
      </c>
      <c r="D336" s="144" t="s">
        <v>34</v>
      </c>
      <c r="E336" s="144" t="s">
        <v>34</v>
      </c>
      <c r="F336" s="144" t="s">
        <v>61</v>
      </c>
      <c r="G336" s="144">
        <v>4.0</v>
      </c>
      <c r="H336" s="144">
        <v>57.2</v>
      </c>
      <c r="I336" s="144">
        <v>228.8</v>
      </c>
    </row>
    <row r="337" ht="20.25" hidden="1" customHeight="1">
      <c r="A337" s="144">
        <v>2025.0</v>
      </c>
      <c r="B337" s="144">
        <v>12.0</v>
      </c>
      <c r="C337" s="144" t="s">
        <v>218</v>
      </c>
      <c r="D337" s="144" t="s">
        <v>34</v>
      </c>
      <c r="E337" s="144" t="s">
        <v>34</v>
      </c>
      <c r="F337" s="144" t="s">
        <v>61</v>
      </c>
      <c r="G337" s="144">
        <v>11.0</v>
      </c>
      <c r="H337" s="144">
        <v>57.2</v>
      </c>
      <c r="I337" s="144">
        <v>629.2</v>
      </c>
    </row>
    <row r="338" ht="20.25" hidden="1" customHeight="1">
      <c r="A338" s="144">
        <v>2025.0</v>
      </c>
      <c r="B338" s="144">
        <v>11.0</v>
      </c>
      <c r="C338" s="144" t="s">
        <v>481</v>
      </c>
      <c r="D338" s="144" t="s">
        <v>215</v>
      </c>
      <c r="E338" s="144" t="s">
        <v>15</v>
      </c>
      <c r="F338" s="144" t="s">
        <v>61</v>
      </c>
      <c r="G338" s="144">
        <v>10.5</v>
      </c>
      <c r="H338" s="144">
        <v>18.0</v>
      </c>
      <c r="I338" s="144">
        <v>189.0</v>
      </c>
    </row>
    <row r="339" ht="20.25" hidden="1" customHeight="1">
      <c r="A339" s="144">
        <v>2025.0</v>
      </c>
      <c r="B339" s="144">
        <v>10.0</v>
      </c>
      <c r="C339" s="144" t="s">
        <v>219</v>
      </c>
      <c r="D339" s="144" t="s">
        <v>35</v>
      </c>
      <c r="E339" s="144" t="s">
        <v>15</v>
      </c>
      <c r="F339" s="144" t="s">
        <v>61</v>
      </c>
      <c r="G339" s="144">
        <v>9.0</v>
      </c>
      <c r="H339" s="144">
        <v>6.7</v>
      </c>
      <c r="I339" s="144">
        <v>60.3</v>
      </c>
    </row>
    <row r="340" ht="20.25" hidden="1" customHeight="1">
      <c r="A340" s="144">
        <v>2025.0</v>
      </c>
      <c r="B340" s="144">
        <v>10.0</v>
      </c>
      <c r="C340" s="144" t="s">
        <v>219</v>
      </c>
      <c r="D340" s="144" t="s">
        <v>35</v>
      </c>
      <c r="E340" s="144" t="s">
        <v>23</v>
      </c>
      <c r="F340" s="144" t="s">
        <v>61</v>
      </c>
      <c r="G340" s="144">
        <v>9.0</v>
      </c>
      <c r="H340" s="144">
        <v>3.3</v>
      </c>
      <c r="I340" s="144">
        <v>29.7</v>
      </c>
    </row>
    <row r="341" ht="20.25" hidden="1" customHeight="1">
      <c r="A341" s="144">
        <v>2025.0</v>
      </c>
      <c r="B341" s="144">
        <v>10.0</v>
      </c>
      <c r="C341" s="144" t="s">
        <v>219</v>
      </c>
      <c r="D341" s="144" t="s">
        <v>35</v>
      </c>
      <c r="E341" s="144" t="s">
        <v>23</v>
      </c>
      <c r="F341" s="144" t="s">
        <v>61</v>
      </c>
      <c r="G341" s="144">
        <v>14.0</v>
      </c>
      <c r="H341" s="144">
        <v>3.3</v>
      </c>
      <c r="I341" s="144">
        <v>46.2</v>
      </c>
    </row>
    <row r="342" ht="20.25" hidden="1" customHeight="1">
      <c r="A342" s="144">
        <v>2025.0</v>
      </c>
      <c r="B342" s="144">
        <v>10.0</v>
      </c>
      <c r="C342" s="144" t="s">
        <v>219</v>
      </c>
      <c r="D342" s="144" t="s">
        <v>35</v>
      </c>
      <c r="E342" s="144" t="s">
        <v>15</v>
      </c>
      <c r="F342" s="144" t="s">
        <v>61</v>
      </c>
      <c r="G342" s="144">
        <v>14.0</v>
      </c>
      <c r="H342" s="144">
        <v>6.7</v>
      </c>
      <c r="I342" s="144">
        <v>93.8</v>
      </c>
    </row>
    <row r="343" ht="20.25" hidden="1" customHeight="1">
      <c r="A343" s="144">
        <v>2025.0</v>
      </c>
      <c r="B343" s="144">
        <v>11.0</v>
      </c>
      <c r="C343" s="144" t="s">
        <v>219</v>
      </c>
      <c r="D343" s="144" t="s">
        <v>35</v>
      </c>
      <c r="E343" s="144" t="s">
        <v>15</v>
      </c>
      <c r="F343" s="144" t="s">
        <v>61</v>
      </c>
      <c r="G343" s="144">
        <v>8.0</v>
      </c>
      <c r="H343" s="144">
        <v>6.7</v>
      </c>
      <c r="I343" s="144">
        <v>53.6</v>
      </c>
    </row>
    <row r="344" ht="20.25" hidden="1" customHeight="1">
      <c r="A344" s="144">
        <v>2025.0</v>
      </c>
      <c r="B344" s="144">
        <v>11.0</v>
      </c>
      <c r="C344" s="144" t="s">
        <v>219</v>
      </c>
      <c r="D344" s="144" t="s">
        <v>35</v>
      </c>
      <c r="E344" s="144" t="s">
        <v>23</v>
      </c>
      <c r="F344" s="144" t="s">
        <v>61</v>
      </c>
      <c r="G344" s="144">
        <v>8.0</v>
      </c>
      <c r="H344" s="144">
        <v>3.3</v>
      </c>
      <c r="I344" s="144">
        <v>26.4</v>
      </c>
    </row>
    <row r="345" ht="20.25" hidden="1" customHeight="1">
      <c r="A345" s="144">
        <v>2025.0</v>
      </c>
      <c r="B345" s="144">
        <v>11.0</v>
      </c>
      <c r="C345" s="144" t="s">
        <v>219</v>
      </c>
      <c r="D345" s="144" t="s">
        <v>35</v>
      </c>
      <c r="E345" s="144" t="s">
        <v>23</v>
      </c>
      <c r="F345" s="144" t="s">
        <v>61</v>
      </c>
      <c r="G345" s="144">
        <v>10.0</v>
      </c>
      <c r="H345" s="144">
        <v>3.3</v>
      </c>
      <c r="I345" s="144">
        <v>33.0</v>
      </c>
    </row>
    <row r="346" ht="20.25" hidden="1" customHeight="1">
      <c r="A346" s="144">
        <v>2025.0</v>
      </c>
      <c r="B346" s="144">
        <v>11.0</v>
      </c>
      <c r="C346" s="144" t="s">
        <v>219</v>
      </c>
      <c r="D346" s="144" t="s">
        <v>35</v>
      </c>
      <c r="E346" s="144" t="s">
        <v>15</v>
      </c>
      <c r="F346" s="144" t="s">
        <v>61</v>
      </c>
      <c r="G346" s="144">
        <v>10.0</v>
      </c>
      <c r="H346" s="144">
        <v>6.7</v>
      </c>
      <c r="I346" s="144">
        <v>67.0</v>
      </c>
    </row>
    <row r="347" ht="20.25" hidden="1" customHeight="1">
      <c r="A347" s="144">
        <v>2025.0</v>
      </c>
      <c r="B347" s="144">
        <v>12.0</v>
      </c>
      <c r="C347" s="144" t="s">
        <v>219</v>
      </c>
      <c r="D347" s="144" t="s">
        <v>35</v>
      </c>
      <c r="E347" s="144" t="s">
        <v>23</v>
      </c>
      <c r="F347" s="144" t="s">
        <v>61</v>
      </c>
      <c r="G347" s="144">
        <v>22.0</v>
      </c>
      <c r="H347" s="144">
        <v>3.3</v>
      </c>
      <c r="I347" s="144">
        <v>72.6</v>
      </c>
    </row>
    <row r="348" ht="20.25" hidden="1" customHeight="1">
      <c r="A348" s="144">
        <v>2025.0</v>
      </c>
      <c r="B348" s="144">
        <v>10.0</v>
      </c>
      <c r="C348" s="144" t="s">
        <v>472</v>
      </c>
      <c r="D348" s="144" t="s">
        <v>221</v>
      </c>
      <c r="E348" s="144" t="s">
        <v>31</v>
      </c>
      <c r="F348" s="144" t="s">
        <v>61</v>
      </c>
      <c r="G348" s="144">
        <v>21.0</v>
      </c>
      <c r="H348" s="144">
        <v>33.3</v>
      </c>
      <c r="I348" s="144">
        <v>699.3</v>
      </c>
    </row>
    <row r="349" ht="20.25" hidden="1" customHeight="1">
      <c r="A349" s="144">
        <v>2025.0</v>
      </c>
      <c r="B349" s="144">
        <v>11.0</v>
      </c>
      <c r="C349" s="144" t="s">
        <v>472</v>
      </c>
      <c r="D349" s="144" t="s">
        <v>221</v>
      </c>
      <c r="E349" s="144" t="s">
        <v>31</v>
      </c>
      <c r="F349" s="144" t="s">
        <v>61</v>
      </c>
      <c r="G349" s="144">
        <v>19.0</v>
      </c>
      <c r="H349" s="144">
        <v>33.3</v>
      </c>
      <c r="I349" s="144">
        <v>632.7</v>
      </c>
    </row>
    <row r="350" ht="20.25" hidden="1" customHeight="1">
      <c r="A350" s="144">
        <v>2025.0</v>
      </c>
      <c r="B350" s="144">
        <v>12.0</v>
      </c>
      <c r="C350" s="144" t="s">
        <v>472</v>
      </c>
      <c r="D350" s="144" t="s">
        <v>221</v>
      </c>
      <c r="E350" s="144" t="s">
        <v>31</v>
      </c>
      <c r="F350" s="144" t="s">
        <v>61</v>
      </c>
      <c r="G350" s="144">
        <v>22.0</v>
      </c>
      <c r="H350" s="144">
        <v>33.3</v>
      </c>
      <c r="I350" s="144">
        <v>732.6</v>
      </c>
    </row>
    <row r="351" ht="20.25" hidden="1" customHeight="1">
      <c r="A351" s="144">
        <v>2025.0</v>
      </c>
      <c r="B351" s="144">
        <v>10.0</v>
      </c>
      <c r="C351" s="144" t="s">
        <v>224</v>
      </c>
      <c r="D351" s="144" t="s">
        <v>47</v>
      </c>
      <c r="E351" s="144" t="s">
        <v>28</v>
      </c>
      <c r="F351" s="144" t="s">
        <v>61</v>
      </c>
      <c r="G351" s="144">
        <v>23.0</v>
      </c>
      <c r="H351" s="144">
        <v>9.3</v>
      </c>
      <c r="I351" s="144">
        <v>213.9</v>
      </c>
    </row>
    <row r="352" ht="20.25" hidden="1" customHeight="1">
      <c r="A352" s="144">
        <v>2025.0</v>
      </c>
      <c r="B352" s="144">
        <v>11.0</v>
      </c>
      <c r="C352" s="144" t="s">
        <v>224</v>
      </c>
      <c r="D352" s="144" t="s">
        <v>47</v>
      </c>
      <c r="E352" s="144" t="s">
        <v>28</v>
      </c>
      <c r="F352" s="144" t="s">
        <v>61</v>
      </c>
      <c r="G352" s="144">
        <v>18.0</v>
      </c>
      <c r="H352" s="144">
        <v>9.3</v>
      </c>
      <c r="I352" s="144">
        <v>167.4</v>
      </c>
    </row>
    <row r="353" ht="20.25" hidden="1" customHeight="1">
      <c r="A353" s="144">
        <v>2025.0</v>
      </c>
      <c r="B353" s="144">
        <v>12.0</v>
      </c>
      <c r="C353" s="144" t="s">
        <v>224</v>
      </c>
      <c r="D353" s="144" t="s">
        <v>47</v>
      </c>
      <c r="E353" s="144" t="s">
        <v>28</v>
      </c>
      <c r="F353" s="144" t="s">
        <v>61</v>
      </c>
      <c r="G353" s="144">
        <v>19.0</v>
      </c>
      <c r="H353" s="144">
        <v>9.3</v>
      </c>
      <c r="I353" s="144">
        <v>176.7</v>
      </c>
    </row>
    <row r="354" ht="20.25" hidden="1" customHeight="1">
      <c r="A354" s="144">
        <v>2025.0</v>
      </c>
      <c r="B354" s="144">
        <v>10.0</v>
      </c>
      <c r="C354" s="144" t="s">
        <v>225</v>
      </c>
      <c r="D354" s="144" t="s">
        <v>226</v>
      </c>
      <c r="E354" s="144" t="s">
        <v>35</v>
      </c>
      <c r="F354" s="144" t="s">
        <v>61</v>
      </c>
      <c r="G354" s="144">
        <v>8.0</v>
      </c>
      <c r="H354" s="144">
        <v>30.9</v>
      </c>
      <c r="I354" s="144">
        <v>247.2</v>
      </c>
    </row>
    <row r="355" ht="20.25" hidden="1" customHeight="1">
      <c r="A355" s="144">
        <v>2025.0</v>
      </c>
      <c r="B355" s="144">
        <v>10.0</v>
      </c>
      <c r="C355" s="144" t="s">
        <v>225</v>
      </c>
      <c r="D355" s="144" t="s">
        <v>226</v>
      </c>
      <c r="E355" s="144" t="s">
        <v>35</v>
      </c>
      <c r="F355" s="144" t="s">
        <v>61</v>
      </c>
      <c r="G355" s="144">
        <v>14.0</v>
      </c>
      <c r="H355" s="144">
        <v>30.9</v>
      </c>
      <c r="I355" s="144">
        <v>432.6</v>
      </c>
    </row>
    <row r="356" ht="20.25" hidden="1" customHeight="1">
      <c r="A356" s="144">
        <v>2025.0</v>
      </c>
      <c r="B356" s="144">
        <v>11.0</v>
      </c>
      <c r="C356" s="144" t="s">
        <v>225</v>
      </c>
      <c r="D356" s="144" t="s">
        <v>226</v>
      </c>
      <c r="E356" s="144" t="s">
        <v>35</v>
      </c>
      <c r="F356" s="144" t="s">
        <v>61</v>
      </c>
      <c r="G356" s="144">
        <v>15.5</v>
      </c>
      <c r="H356" s="144">
        <v>30.9</v>
      </c>
      <c r="I356" s="144">
        <v>478.95</v>
      </c>
    </row>
    <row r="357" ht="20.25" hidden="1" customHeight="1">
      <c r="A357" s="144">
        <v>2025.0</v>
      </c>
      <c r="B357" s="144">
        <v>12.0</v>
      </c>
      <c r="C357" s="144" t="s">
        <v>225</v>
      </c>
      <c r="D357" s="144" t="s">
        <v>226</v>
      </c>
      <c r="E357" s="144" t="s">
        <v>35</v>
      </c>
      <c r="F357" s="144" t="s">
        <v>61</v>
      </c>
      <c r="G357" s="144">
        <v>20.5</v>
      </c>
      <c r="H357" s="144">
        <v>30.9</v>
      </c>
      <c r="I357" s="144">
        <v>633.45</v>
      </c>
    </row>
    <row r="358" ht="20.25" hidden="1" customHeight="1">
      <c r="A358" s="144">
        <v>2025.0</v>
      </c>
      <c r="B358" s="144">
        <v>10.0</v>
      </c>
      <c r="C358" s="144" t="s">
        <v>284</v>
      </c>
      <c r="D358" s="144" t="s">
        <v>285</v>
      </c>
      <c r="E358" s="144" t="s">
        <v>17</v>
      </c>
      <c r="F358" s="144" t="s">
        <v>61</v>
      </c>
      <c r="G358" s="144">
        <v>14.0</v>
      </c>
      <c r="H358" s="144">
        <v>2.1</v>
      </c>
      <c r="I358" s="144">
        <v>29.4</v>
      </c>
    </row>
    <row r="359" ht="20.25" hidden="1" customHeight="1">
      <c r="A359" s="144">
        <v>2025.0</v>
      </c>
      <c r="B359" s="144">
        <v>11.0</v>
      </c>
      <c r="C359" s="144" t="s">
        <v>284</v>
      </c>
      <c r="D359" s="144" t="s">
        <v>285</v>
      </c>
      <c r="E359" s="144" t="s">
        <v>17</v>
      </c>
      <c r="F359" s="144" t="s">
        <v>61</v>
      </c>
      <c r="G359" s="144">
        <v>14.0</v>
      </c>
      <c r="H359" s="144">
        <v>2.1</v>
      </c>
      <c r="I359" s="144">
        <v>29.4</v>
      </c>
    </row>
    <row r="360" ht="20.25" hidden="1" customHeight="1">
      <c r="A360" s="144">
        <v>2025.0</v>
      </c>
      <c r="B360" s="144">
        <v>12.0</v>
      </c>
      <c r="C360" s="144" t="s">
        <v>284</v>
      </c>
      <c r="D360" s="144" t="s">
        <v>285</v>
      </c>
      <c r="E360" s="144" t="s">
        <v>17</v>
      </c>
      <c r="F360" s="144" t="s">
        <v>61</v>
      </c>
      <c r="G360" s="144">
        <v>15.0</v>
      </c>
      <c r="H360" s="144">
        <v>2.1</v>
      </c>
      <c r="I360" s="144">
        <v>31.5</v>
      </c>
    </row>
    <row r="361" ht="20.25" hidden="1" customHeight="1">
      <c r="A361" s="144">
        <v>2025.0</v>
      </c>
      <c r="B361" s="144">
        <v>12.0</v>
      </c>
      <c r="C361" s="144" t="s">
        <v>219</v>
      </c>
      <c r="D361" s="144" t="s">
        <v>35</v>
      </c>
      <c r="E361" s="144" t="s">
        <v>15</v>
      </c>
      <c r="F361" s="144" t="s">
        <v>61</v>
      </c>
      <c r="G361" s="144">
        <v>22.0</v>
      </c>
      <c r="H361" s="144">
        <v>6.7</v>
      </c>
      <c r="I361" s="144">
        <v>147.4</v>
      </c>
    </row>
    <row r="362" ht="20.25" hidden="1" customHeight="1">
      <c r="A362" s="144">
        <v>2025.0</v>
      </c>
      <c r="B362" s="144">
        <v>10.0</v>
      </c>
      <c r="C362" s="144" t="s">
        <v>482</v>
      </c>
      <c r="D362" s="144" t="s">
        <v>483</v>
      </c>
      <c r="E362" s="144" t="s">
        <v>15</v>
      </c>
      <c r="F362" s="144" t="s">
        <v>61</v>
      </c>
      <c r="G362" s="144">
        <v>23.0</v>
      </c>
      <c r="H362" s="144">
        <v>0.01</v>
      </c>
      <c r="I362" s="144">
        <v>0.23</v>
      </c>
    </row>
    <row r="363" ht="20.25" hidden="1" customHeight="1">
      <c r="A363" s="144">
        <v>2025.0</v>
      </c>
      <c r="B363" s="144">
        <v>11.0</v>
      </c>
      <c r="C363" s="144" t="s">
        <v>482</v>
      </c>
      <c r="D363" s="144" t="s">
        <v>483</v>
      </c>
      <c r="E363" s="144" t="s">
        <v>15</v>
      </c>
      <c r="F363" s="144" t="s">
        <v>61</v>
      </c>
      <c r="G363" s="144">
        <v>19.0</v>
      </c>
      <c r="H363" s="144">
        <v>0.01</v>
      </c>
      <c r="I363" s="144">
        <v>0.19</v>
      </c>
    </row>
    <row r="364" ht="20.25" hidden="1" customHeight="1">
      <c r="A364" s="144">
        <v>2025.0</v>
      </c>
      <c r="B364" s="144">
        <v>10.0</v>
      </c>
      <c r="C364" s="144" t="s">
        <v>227</v>
      </c>
      <c r="D364" s="144" t="s">
        <v>228</v>
      </c>
      <c r="E364" s="144" t="s">
        <v>35</v>
      </c>
      <c r="F364" s="144" t="s">
        <v>61</v>
      </c>
      <c r="G364" s="144">
        <v>3.0</v>
      </c>
      <c r="H364" s="144">
        <v>36.9</v>
      </c>
      <c r="I364" s="144">
        <v>110.7</v>
      </c>
    </row>
    <row r="365" ht="20.25" hidden="1" customHeight="1">
      <c r="A365" s="144">
        <v>2025.0</v>
      </c>
      <c r="B365" s="144">
        <v>11.0</v>
      </c>
      <c r="C365" s="144" t="s">
        <v>227</v>
      </c>
      <c r="D365" s="144" t="s">
        <v>228</v>
      </c>
      <c r="E365" s="144" t="s">
        <v>35</v>
      </c>
      <c r="F365" s="144" t="s">
        <v>61</v>
      </c>
      <c r="G365" s="144">
        <v>3.0</v>
      </c>
      <c r="H365" s="144">
        <v>36.9</v>
      </c>
      <c r="I365" s="144">
        <v>110.7</v>
      </c>
    </row>
    <row r="366" ht="20.25" hidden="1" customHeight="1">
      <c r="A366" s="144">
        <v>2025.0</v>
      </c>
      <c r="B366" s="144">
        <v>12.0</v>
      </c>
      <c r="C366" s="144" t="s">
        <v>227</v>
      </c>
      <c r="D366" s="144" t="s">
        <v>228</v>
      </c>
      <c r="E366" s="144" t="s">
        <v>35</v>
      </c>
      <c r="F366" s="144" t="s">
        <v>61</v>
      </c>
      <c r="G366" s="144">
        <v>3.0</v>
      </c>
      <c r="H366" s="144">
        <v>36.9</v>
      </c>
      <c r="I366" s="144">
        <v>110.7</v>
      </c>
    </row>
    <row r="367" ht="20.25" hidden="1" customHeight="1">
      <c r="A367" s="144">
        <v>2025.0</v>
      </c>
      <c r="B367" s="144">
        <v>10.0</v>
      </c>
      <c r="C367" s="144" t="s">
        <v>463</v>
      </c>
      <c r="D367" s="144" t="s">
        <v>484</v>
      </c>
      <c r="E367" s="144" t="s">
        <v>28</v>
      </c>
      <c r="F367" s="144" t="s">
        <v>61</v>
      </c>
      <c r="G367" s="144">
        <v>21.0</v>
      </c>
      <c r="H367" s="144">
        <v>2.0</v>
      </c>
      <c r="I367" s="144">
        <v>42.0</v>
      </c>
    </row>
    <row r="368" ht="20.25" hidden="1" customHeight="1">
      <c r="A368" s="144">
        <v>2025.0</v>
      </c>
      <c r="B368" s="144">
        <v>10.0</v>
      </c>
      <c r="C368" s="144" t="s">
        <v>229</v>
      </c>
      <c r="D368" s="144" t="s">
        <v>88</v>
      </c>
      <c r="E368" s="144" t="s">
        <v>17</v>
      </c>
      <c r="F368" s="144" t="s">
        <v>61</v>
      </c>
      <c r="G368" s="144">
        <v>21.0</v>
      </c>
      <c r="H368" s="144">
        <v>13.3</v>
      </c>
      <c r="I368" s="144">
        <v>279.3</v>
      </c>
    </row>
    <row r="369" ht="20.25" hidden="1" customHeight="1">
      <c r="A369" s="144">
        <v>2025.0</v>
      </c>
      <c r="B369" s="144">
        <v>11.0</v>
      </c>
      <c r="C369" s="144" t="s">
        <v>229</v>
      </c>
      <c r="D369" s="144" t="s">
        <v>88</v>
      </c>
      <c r="E369" s="144" t="s">
        <v>17</v>
      </c>
      <c r="F369" s="144" t="s">
        <v>61</v>
      </c>
      <c r="G369" s="144">
        <v>15.5</v>
      </c>
      <c r="H369" s="144">
        <v>13.3</v>
      </c>
      <c r="I369" s="144">
        <v>206.15</v>
      </c>
    </row>
    <row r="370" ht="20.25" hidden="1" customHeight="1">
      <c r="A370" s="144">
        <v>2025.0</v>
      </c>
      <c r="B370" s="144">
        <v>12.0</v>
      </c>
      <c r="C370" s="144" t="s">
        <v>229</v>
      </c>
      <c r="D370" s="144" t="s">
        <v>88</v>
      </c>
      <c r="E370" s="144" t="s">
        <v>17</v>
      </c>
      <c r="F370" s="144" t="s">
        <v>61</v>
      </c>
      <c r="G370" s="144">
        <v>17.0</v>
      </c>
      <c r="H370" s="144">
        <v>13.3</v>
      </c>
      <c r="I370" s="144">
        <v>226.1</v>
      </c>
    </row>
    <row r="371" ht="20.25" hidden="1" customHeight="1">
      <c r="A371" s="144">
        <v>2025.0</v>
      </c>
      <c r="B371" s="144">
        <v>10.0</v>
      </c>
      <c r="C371" s="144" t="s">
        <v>230</v>
      </c>
      <c r="D371" s="144" t="s">
        <v>37</v>
      </c>
      <c r="E371" s="144" t="s">
        <v>26</v>
      </c>
      <c r="F371" s="144" t="s">
        <v>61</v>
      </c>
      <c r="G371" s="144">
        <v>21.0</v>
      </c>
      <c r="H371" s="144">
        <v>16.5</v>
      </c>
      <c r="I371" s="144">
        <v>346.5</v>
      </c>
    </row>
    <row r="372" ht="20.25" hidden="1" customHeight="1">
      <c r="A372" s="144">
        <v>2025.0</v>
      </c>
      <c r="B372" s="144">
        <v>10.0</v>
      </c>
      <c r="C372" s="144" t="s">
        <v>230</v>
      </c>
      <c r="D372" s="144" t="s">
        <v>37</v>
      </c>
      <c r="E372" s="144" t="s">
        <v>38</v>
      </c>
      <c r="F372" s="144" t="s">
        <v>61</v>
      </c>
      <c r="G372" s="144">
        <v>21.0</v>
      </c>
      <c r="H372" s="144">
        <v>3.5</v>
      </c>
      <c r="I372" s="144">
        <v>73.5</v>
      </c>
    </row>
    <row r="373" ht="20.25" hidden="1" customHeight="1">
      <c r="A373" s="144">
        <v>2025.0</v>
      </c>
      <c r="B373" s="144">
        <v>11.0</v>
      </c>
      <c r="C373" s="144" t="s">
        <v>230</v>
      </c>
      <c r="D373" s="144" t="s">
        <v>37</v>
      </c>
      <c r="E373" s="144" t="s">
        <v>26</v>
      </c>
      <c r="F373" s="144" t="s">
        <v>61</v>
      </c>
      <c r="G373" s="144">
        <v>14.0</v>
      </c>
      <c r="H373" s="144">
        <v>16.5</v>
      </c>
      <c r="I373" s="144">
        <v>231.0</v>
      </c>
    </row>
    <row r="374" ht="20.25" hidden="1" customHeight="1">
      <c r="A374" s="144">
        <v>2025.0</v>
      </c>
      <c r="B374" s="144">
        <v>11.0</v>
      </c>
      <c r="C374" s="144" t="s">
        <v>230</v>
      </c>
      <c r="D374" s="144" t="s">
        <v>37</v>
      </c>
      <c r="E374" s="144" t="s">
        <v>38</v>
      </c>
      <c r="F374" s="144" t="s">
        <v>61</v>
      </c>
      <c r="G374" s="144">
        <v>14.0</v>
      </c>
      <c r="H374" s="144">
        <v>3.5</v>
      </c>
      <c r="I374" s="144">
        <v>49.0</v>
      </c>
    </row>
    <row r="375" ht="20.25" hidden="1" customHeight="1">
      <c r="A375" s="144">
        <v>2025.0</v>
      </c>
      <c r="B375" s="144">
        <v>12.0</v>
      </c>
      <c r="C375" s="144" t="s">
        <v>230</v>
      </c>
      <c r="D375" s="144" t="s">
        <v>37</v>
      </c>
      <c r="E375" s="144" t="s">
        <v>26</v>
      </c>
      <c r="F375" s="144" t="s">
        <v>61</v>
      </c>
      <c r="G375" s="144">
        <v>16.0</v>
      </c>
      <c r="H375" s="144">
        <v>16.5</v>
      </c>
      <c r="I375" s="144">
        <v>264.0</v>
      </c>
    </row>
    <row r="376" ht="20.25" hidden="1" customHeight="1">
      <c r="A376" s="144">
        <v>2025.0</v>
      </c>
      <c r="B376" s="144">
        <v>12.0</v>
      </c>
      <c r="C376" s="144" t="s">
        <v>230</v>
      </c>
      <c r="D376" s="144" t="s">
        <v>37</v>
      </c>
      <c r="E376" s="144" t="s">
        <v>38</v>
      </c>
      <c r="F376" s="144" t="s">
        <v>61</v>
      </c>
      <c r="G376" s="144">
        <v>16.0</v>
      </c>
      <c r="H376" s="144">
        <v>3.5</v>
      </c>
      <c r="I376" s="144">
        <v>56.0</v>
      </c>
    </row>
    <row r="377" ht="20.25" hidden="1" customHeight="1">
      <c r="A377" s="144">
        <v>2025.0</v>
      </c>
      <c r="B377" s="144">
        <v>10.0</v>
      </c>
      <c r="C377" s="144" t="s">
        <v>231</v>
      </c>
      <c r="D377" s="144" t="s">
        <v>38</v>
      </c>
      <c r="E377" s="144" t="s">
        <v>26</v>
      </c>
      <c r="F377" s="144" t="s">
        <v>61</v>
      </c>
      <c r="G377" s="144">
        <v>21.0</v>
      </c>
      <c r="H377" s="144">
        <v>12.5</v>
      </c>
      <c r="I377" s="144">
        <v>262.5</v>
      </c>
    </row>
    <row r="378" ht="20.25" hidden="1" customHeight="1">
      <c r="A378" s="144">
        <v>2025.0</v>
      </c>
      <c r="B378" s="144">
        <v>11.0</v>
      </c>
      <c r="C378" s="144" t="s">
        <v>231</v>
      </c>
      <c r="D378" s="144" t="s">
        <v>38</v>
      </c>
      <c r="E378" s="144" t="s">
        <v>26</v>
      </c>
      <c r="F378" s="144" t="s">
        <v>61</v>
      </c>
      <c r="G378" s="144">
        <v>13.0</v>
      </c>
      <c r="H378" s="144">
        <v>12.5</v>
      </c>
      <c r="I378" s="144">
        <v>162.5</v>
      </c>
    </row>
    <row r="379" ht="20.25" hidden="1" customHeight="1">
      <c r="A379" s="144">
        <v>2025.0</v>
      </c>
      <c r="B379" s="144">
        <v>12.0</v>
      </c>
      <c r="C379" s="144" t="s">
        <v>231</v>
      </c>
      <c r="D379" s="144" t="s">
        <v>38</v>
      </c>
      <c r="E379" s="144" t="s">
        <v>26</v>
      </c>
      <c r="F379" s="144" t="s">
        <v>61</v>
      </c>
      <c r="G379" s="144">
        <v>18.0</v>
      </c>
      <c r="H379" s="144">
        <v>12.5</v>
      </c>
      <c r="I379" s="144">
        <v>225.0</v>
      </c>
    </row>
    <row r="380" ht="20.25" hidden="1" customHeight="1">
      <c r="A380" s="144">
        <v>2025.0</v>
      </c>
      <c r="B380" s="144">
        <v>12.0</v>
      </c>
      <c r="C380" s="144" t="s">
        <v>482</v>
      </c>
      <c r="D380" s="144" t="s">
        <v>483</v>
      </c>
      <c r="E380" s="144" t="s">
        <v>15</v>
      </c>
      <c r="F380" s="144" t="s">
        <v>61</v>
      </c>
      <c r="G380" s="144">
        <v>12.0</v>
      </c>
      <c r="H380" s="144">
        <v>0.01</v>
      </c>
      <c r="I380" s="144">
        <v>0.12</v>
      </c>
    </row>
    <row r="381" ht="20.25" hidden="1" customHeight="1">
      <c r="A381" s="144">
        <v>2025.0</v>
      </c>
      <c r="B381" s="144">
        <v>10.0</v>
      </c>
      <c r="C381" s="144" t="s">
        <v>485</v>
      </c>
      <c r="D381" s="144" t="s">
        <v>233</v>
      </c>
      <c r="E381" s="144" t="s">
        <v>15</v>
      </c>
      <c r="F381" s="144" t="s">
        <v>61</v>
      </c>
      <c r="G381" s="144">
        <v>11.0</v>
      </c>
      <c r="H381" s="144">
        <v>28.7</v>
      </c>
      <c r="I381" s="144">
        <v>315.7</v>
      </c>
    </row>
    <row r="382" ht="20.25" hidden="1" customHeight="1">
      <c r="A382" s="144">
        <v>2025.0</v>
      </c>
      <c r="B382" s="144">
        <v>10.0</v>
      </c>
      <c r="C382" s="144" t="s">
        <v>485</v>
      </c>
      <c r="D382" s="144" t="s">
        <v>233</v>
      </c>
      <c r="E382" s="144" t="s">
        <v>26</v>
      </c>
      <c r="F382" s="144" t="s">
        <v>61</v>
      </c>
      <c r="G382" s="144">
        <v>11.0</v>
      </c>
      <c r="H382" s="144">
        <v>5.1</v>
      </c>
      <c r="I382" s="144">
        <v>56.1</v>
      </c>
    </row>
    <row r="383" ht="20.25" hidden="1" customHeight="1">
      <c r="A383" s="144">
        <v>2025.0</v>
      </c>
      <c r="B383" s="144">
        <v>10.0</v>
      </c>
      <c r="C383" s="144" t="s">
        <v>485</v>
      </c>
      <c r="D383" s="144" t="s">
        <v>233</v>
      </c>
      <c r="E383" s="144" t="s">
        <v>26</v>
      </c>
      <c r="F383" s="144" t="s">
        <v>61</v>
      </c>
      <c r="G383" s="144">
        <v>12.0</v>
      </c>
      <c r="H383" s="144">
        <v>5.1</v>
      </c>
      <c r="I383" s="144">
        <v>61.2</v>
      </c>
    </row>
    <row r="384" ht="20.25" hidden="1" customHeight="1">
      <c r="A384" s="144">
        <v>2025.0</v>
      </c>
      <c r="B384" s="144">
        <v>10.0</v>
      </c>
      <c r="C384" s="144" t="s">
        <v>485</v>
      </c>
      <c r="D384" s="144" t="s">
        <v>233</v>
      </c>
      <c r="E384" s="144" t="s">
        <v>15</v>
      </c>
      <c r="F384" s="144" t="s">
        <v>61</v>
      </c>
      <c r="G384" s="144">
        <v>12.0</v>
      </c>
      <c r="H384" s="144">
        <v>28.7</v>
      </c>
      <c r="I384" s="144">
        <v>344.4</v>
      </c>
    </row>
    <row r="385" ht="20.25" hidden="1" customHeight="1">
      <c r="A385" s="144">
        <v>2025.0</v>
      </c>
      <c r="B385" s="144">
        <v>11.0</v>
      </c>
      <c r="C385" s="144" t="s">
        <v>485</v>
      </c>
      <c r="D385" s="144" t="s">
        <v>233</v>
      </c>
      <c r="E385" s="144" t="s">
        <v>26</v>
      </c>
      <c r="F385" s="144" t="s">
        <v>61</v>
      </c>
      <c r="G385" s="144">
        <v>19.0</v>
      </c>
      <c r="H385" s="144">
        <v>5.1</v>
      </c>
      <c r="I385" s="144">
        <v>96.9</v>
      </c>
    </row>
    <row r="386" ht="20.25" hidden="1" customHeight="1">
      <c r="A386" s="144">
        <v>2025.0</v>
      </c>
      <c r="B386" s="144">
        <v>11.0</v>
      </c>
      <c r="C386" s="144" t="s">
        <v>485</v>
      </c>
      <c r="D386" s="144" t="s">
        <v>233</v>
      </c>
      <c r="E386" s="144" t="s">
        <v>15</v>
      </c>
      <c r="F386" s="144" t="s">
        <v>61</v>
      </c>
      <c r="G386" s="144">
        <v>19.0</v>
      </c>
      <c r="H386" s="144">
        <v>28.7</v>
      </c>
      <c r="I386" s="144">
        <v>545.3</v>
      </c>
    </row>
    <row r="387" ht="20.25" hidden="1" customHeight="1">
      <c r="A387" s="144">
        <v>2025.0</v>
      </c>
      <c r="B387" s="144">
        <v>12.0</v>
      </c>
      <c r="C387" s="144" t="s">
        <v>485</v>
      </c>
      <c r="D387" s="144" t="s">
        <v>233</v>
      </c>
      <c r="E387" s="144" t="s">
        <v>26</v>
      </c>
      <c r="F387" s="144" t="s">
        <v>61</v>
      </c>
      <c r="G387" s="144">
        <v>19.0</v>
      </c>
      <c r="H387" s="144">
        <v>5.1</v>
      </c>
      <c r="I387" s="144">
        <v>96.9</v>
      </c>
    </row>
    <row r="388" ht="19.5" hidden="1" customHeight="1">
      <c r="A388" s="144">
        <v>2025.0</v>
      </c>
      <c r="B388" s="144">
        <v>12.0</v>
      </c>
      <c r="C388" s="144" t="s">
        <v>485</v>
      </c>
      <c r="D388" s="144" t="s">
        <v>233</v>
      </c>
      <c r="E388" s="144" t="s">
        <v>15</v>
      </c>
      <c r="F388" s="144" t="s">
        <v>61</v>
      </c>
      <c r="G388" s="144">
        <v>19.0</v>
      </c>
      <c r="H388" s="144">
        <v>28.7</v>
      </c>
      <c r="I388" s="144">
        <v>545.3</v>
      </c>
    </row>
    <row r="389" ht="20.25" hidden="1" customHeight="1">
      <c r="A389" s="144">
        <v>2025.0</v>
      </c>
      <c r="B389" s="144">
        <v>10.0</v>
      </c>
      <c r="C389" s="144" t="s">
        <v>486</v>
      </c>
      <c r="D389" s="144" t="s">
        <v>39</v>
      </c>
      <c r="E389" s="144" t="s">
        <v>15</v>
      </c>
      <c r="F389" s="144" t="s">
        <v>61</v>
      </c>
      <c r="G389" s="144">
        <v>23.0</v>
      </c>
      <c r="H389" s="144">
        <v>0.01</v>
      </c>
      <c r="I389" s="144">
        <v>0.23</v>
      </c>
    </row>
    <row r="390" ht="20.25" hidden="1" customHeight="1">
      <c r="A390" s="144">
        <v>2025.0</v>
      </c>
      <c r="B390" s="144">
        <v>11.0</v>
      </c>
      <c r="C390" s="144" t="s">
        <v>486</v>
      </c>
      <c r="D390" s="144" t="s">
        <v>39</v>
      </c>
      <c r="E390" s="144" t="s">
        <v>15</v>
      </c>
      <c r="F390" s="144" t="s">
        <v>61</v>
      </c>
      <c r="G390" s="144">
        <v>19.0</v>
      </c>
      <c r="H390" s="144">
        <v>0.01</v>
      </c>
      <c r="I390" s="144">
        <v>0.19</v>
      </c>
    </row>
    <row r="391" ht="20.25" hidden="1" customHeight="1">
      <c r="A391" s="144">
        <v>2025.0</v>
      </c>
      <c r="B391" s="144">
        <v>10.0</v>
      </c>
      <c r="C391" s="144" t="s">
        <v>234</v>
      </c>
      <c r="D391" s="144" t="s">
        <v>40</v>
      </c>
      <c r="E391" s="144" t="s">
        <v>40</v>
      </c>
      <c r="F391" s="144" t="s">
        <v>61</v>
      </c>
      <c r="G391" s="144">
        <v>29.0</v>
      </c>
      <c r="H391" s="144">
        <v>10.0</v>
      </c>
      <c r="I391" s="144">
        <v>290.0</v>
      </c>
    </row>
    <row r="392" ht="20.25" hidden="1" customHeight="1">
      <c r="A392" s="144">
        <v>2025.0</v>
      </c>
      <c r="B392" s="144">
        <v>11.0</v>
      </c>
      <c r="C392" s="144" t="s">
        <v>460</v>
      </c>
      <c r="D392" s="144" t="s">
        <v>40</v>
      </c>
      <c r="E392" s="144" t="s">
        <v>40</v>
      </c>
      <c r="F392" s="144" t="s">
        <v>61</v>
      </c>
      <c r="G392" s="144">
        <v>2.0</v>
      </c>
      <c r="H392" s="144">
        <v>10.0</v>
      </c>
      <c r="I392" s="144">
        <v>20.0</v>
      </c>
    </row>
    <row r="393" ht="20.25" hidden="1" customHeight="1">
      <c r="A393" s="144">
        <v>2025.0</v>
      </c>
      <c r="B393" s="144">
        <v>11.0</v>
      </c>
      <c r="C393" s="144" t="s">
        <v>463</v>
      </c>
      <c r="D393" s="144" t="s">
        <v>40</v>
      </c>
      <c r="E393" s="144" t="s">
        <v>40</v>
      </c>
      <c r="F393" s="144" t="s">
        <v>61</v>
      </c>
      <c r="G393" s="144">
        <v>4.0</v>
      </c>
      <c r="H393" s="144">
        <v>10.0</v>
      </c>
      <c r="I393" s="144">
        <v>40.0</v>
      </c>
    </row>
    <row r="394" ht="20.25" hidden="1" customHeight="1">
      <c r="A394" s="144">
        <v>2025.0</v>
      </c>
      <c r="B394" s="144">
        <v>11.0</v>
      </c>
      <c r="C394" s="144" t="s">
        <v>234</v>
      </c>
      <c r="D394" s="144" t="s">
        <v>40</v>
      </c>
      <c r="E394" s="144" t="s">
        <v>40</v>
      </c>
      <c r="F394" s="144" t="s">
        <v>61</v>
      </c>
      <c r="G394" s="144">
        <v>16.0</v>
      </c>
      <c r="H394" s="144">
        <v>10.0</v>
      </c>
      <c r="I394" s="144">
        <v>160.0</v>
      </c>
    </row>
    <row r="395" ht="20.25" hidden="1" customHeight="1">
      <c r="A395" s="144">
        <v>2025.0</v>
      </c>
      <c r="B395" s="144">
        <v>12.0</v>
      </c>
      <c r="C395" s="144" t="s">
        <v>460</v>
      </c>
      <c r="D395" s="144" t="s">
        <v>40</v>
      </c>
      <c r="E395" s="144" t="s">
        <v>40</v>
      </c>
      <c r="F395" s="144" t="s">
        <v>61</v>
      </c>
      <c r="G395" s="144">
        <v>15.0</v>
      </c>
      <c r="H395" s="144">
        <v>10.0</v>
      </c>
      <c r="I395" s="144">
        <v>150.0</v>
      </c>
    </row>
    <row r="396" ht="20.25" hidden="1" customHeight="1">
      <c r="A396" s="144">
        <v>2025.0</v>
      </c>
      <c r="B396" s="144">
        <v>10.0</v>
      </c>
      <c r="C396" s="144" t="s">
        <v>487</v>
      </c>
      <c r="D396" s="144" t="s">
        <v>236</v>
      </c>
      <c r="E396" s="144" t="s">
        <v>17</v>
      </c>
      <c r="F396" s="144" t="s">
        <v>61</v>
      </c>
      <c r="G396" s="144">
        <v>22.0</v>
      </c>
      <c r="H396" s="144">
        <v>20.0</v>
      </c>
      <c r="I396" s="144">
        <v>440.0</v>
      </c>
    </row>
    <row r="397" ht="20.25" hidden="1" customHeight="1">
      <c r="A397" s="144">
        <v>2025.0</v>
      </c>
      <c r="B397" s="144">
        <v>11.0</v>
      </c>
      <c r="C397" s="144" t="s">
        <v>487</v>
      </c>
      <c r="D397" s="144" t="s">
        <v>236</v>
      </c>
      <c r="E397" s="144" t="s">
        <v>17</v>
      </c>
      <c r="F397" s="144" t="s">
        <v>61</v>
      </c>
      <c r="G397" s="144">
        <v>15.0</v>
      </c>
      <c r="H397" s="144">
        <v>20.0</v>
      </c>
      <c r="I397" s="144">
        <v>300.0</v>
      </c>
    </row>
    <row r="398" ht="20.25" hidden="1" customHeight="1">
      <c r="A398" s="144">
        <v>2025.0</v>
      </c>
      <c r="B398" s="144">
        <v>12.0</v>
      </c>
      <c r="C398" s="144" t="s">
        <v>487</v>
      </c>
      <c r="D398" s="144" t="s">
        <v>236</v>
      </c>
      <c r="E398" s="144" t="s">
        <v>17</v>
      </c>
      <c r="F398" s="144" t="s">
        <v>61</v>
      </c>
      <c r="G398" s="144">
        <v>6.0</v>
      </c>
      <c r="H398" s="144">
        <v>20.0</v>
      </c>
      <c r="I398" s="144">
        <v>120.0</v>
      </c>
    </row>
    <row r="399" ht="20.25" hidden="1" customHeight="1">
      <c r="A399" s="144">
        <v>2025.0</v>
      </c>
      <c r="B399" s="144">
        <v>10.0</v>
      </c>
      <c r="C399" s="144" t="s">
        <v>488</v>
      </c>
      <c r="D399" s="144" t="s">
        <v>41</v>
      </c>
      <c r="E399" s="144" t="s">
        <v>28</v>
      </c>
      <c r="F399" s="144" t="s">
        <v>61</v>
      </c>
      <c r="G399" s="144">
        <v>19.0</v>
      </c>
      <c r="H399" s="144">
        <v>0.8</v>
      </c>
      <c r="I399" s="144">
        <v>15.2</v>
      </c>
    </row>
    <row r="400" ht="20.25" hidden="1" customHeight="1">
      <c r="A400" s="144">
        <v>2025.0</v>
      </c>
      <c r="B400" s="144">
        <v>11.0</v>
      </c>
      <c r="C400" s="144" t="s">
        <v>488</v>
      </c>
      <c r="D400" s="144" t="s">
        <v>41</v>
      </c>
      <c r="E400" s="144" t="s">
        <v>28</v>
      </c>
      <c r="F400" s="144" t="s">
        <v>61</v>
      </c>
      <c r="G400" s="144">
        <v>18.0</v>
      </c>
      <c r="H400" s="144">
        <v>0.8</v>
      </c>
      <c r="I400" s="144">
        <v>14.4</v>
      </c>
    </row>
    <row r="401" ht="20.25" hidden="1" customHeight="1">
      <c r="A401" s="144">
        <v>2025.0</v>
      </c>
      <c r="B401" s="144">
        <v>12.0</v>
      </c>
      <c r="C401" s="144" t="s">
        <v>488</v>
      </c>
      <c r="D401" s="144" t="s">
        <v>41</v>
      </c>
      <c r="E401" s="144" t="s">
        <v>28</v>
      </c>
      <c r="F401" s="144" t="s">
        <v>61</v>
      </c>
      <c r="G401" s="144">
        <v>18.0</v>
      </c>
      <c r="H401" s="144">
        <v>0.8</v>
      </c>
      <c r="I401" s="144">
        <v>14.4</v>
      </c>
    </row>
    <row r="402" ht="20.25" hidden="1" customHeight="1">
      <c r="A402" s="144">
        <v>2025.0</v>
      </c>
      <c r="B402" s="144">
        <v>11.0</v>
      </c>
      <c r="C402" s="144" t="s">
        <v>472</v>
      </c>
      <c r="D402" s="144" t="s">
        <v>241</v>
      </c>
      <c r="E402" s="144" t="s">
        <v>31</v>
      </c>
      <c r="F402" s="144" t="s">
        <v>61</v>
      </c>
      <c r="G402" s="144">
        <v>17.0</v>
      </c>
      <c r="H402" s="144">
        <v>41.5</v>
      </c>
      <c r="I402" s="144">
        <v>705.5</v>
      </c>
    </row>
    <row r="403" ht="20.25" hidden="1" customHeight="1">
      <c r="A403" s="144">
        <v>2025.0</v>
      </c>
      <c r="B403" s="144">
        <v>12.0</v>
      </c>
      <c r="C403" s="144" t="s">
        <v>472</v>
      </c>
      <c r="D403" s="144" t="s">
        <v>241</v>
      </c>
      <c r="E403" s="144" t="s">
        <v>31</v>
      </c>
      <c r="F403" s="144" t="s">
        <v>61</v>
      </c>
      <c r="G403" s="144">
        <v>19.0</v>
      </c>
      <c r="H403" s="144">
        <v>41.5</v>
      </c>
      <c r="I403" s="144">
        <v>788.5</v>
      </c>
    </row>
    <row r="404" ht="20.25" hidden="1" customHeight="1">
      <c r="A404" s="144">
        <v>2025.0</v>
      </c>
      <c r="B404" s="144">
        <v>10.0</v>
      </c>
      <c r="C404" s="144" t="s">
        <v>489</v>
      </c>
      <c r="D404" s="144" t="s">
        <v>243</v>
      </c>
      <c r="E404" s="144" t="s">
        <v>17</v>
      </c>
      <c r="F404" s="144" t="s">
        <v>61</v>
      </c>
      <c r="G404" s="144">
        <v>16.75</v>
      </c>
      <c r="H404" s="144">
        <v>10.8</v>
      </c>
      <c r="I404" s="144">
        <v>180.9</v>
      </c>
    </row>
    <row r="405" ht="20.25" hidden="1" customHeight="1">
      <c r="A405" s="144">
        <v>2025.0</v>
      </c>
      <c r="B405" s="144">
        <v>11.0</v>
      </c>
      <c r="C405" s="144" t="s">
        <v>489</v>
      </c>
      <c r="D405" s="144" t="s">
        <v>243</v>
      </c>
      <c r="E405" s="144" t="s">
        <v>17</v>
      </c>
      <c r="F405" s="144" t="s">
        <v>61</v>
      </c>
      <c r="G405" s="144">
        <v>19.0</v>
      </c>
      <c r="H405" s="144">
        <v>10.8</v>
      </c>
      <c r="I405" s="144">
        <v>205.2</v>
      </c>
    </row>
    <row r="406" ht="20.25" hidden="1" customHeight="1">
      <c r="A406" s="144">
        <v>2025.0</v>
      </c>
      <c r="B406" s="144">
        <v>12.0</v>
      </c>
      <c r="C406" s="144" t="s">
        <v>489</v>
      </c>
      <c r="D406" s="144" t="s">
        <v>243</v>
      </c>
      <c r="E406" s="144" t="s">
        <v>17</v>
      </c>
      <c r="F406" s="144" t="s">
        <v>61</v>
      </c>
      <c r="G406" s="144">
        <v>5.0</v>
      </c>
      <c r="H406" s="144">
        <v>10.8</v>
      </c>
      <c r="I406" s="144">
        <v>54.0</v>
      </c>
    </row>
    <row r="407" ht="20.25" hidden="1" customHeight="1">
      <c r="A407" s="144">
        <v>2025.0</v>
      </c>
      <c r="B407" s="144">
        <v>12.0</v>
      </c>
      <c r="C407" s="144" t="s">
        <v>489</v>
      </c>
      <c r="D407" s="144" t="s">
        <v>243</v>
      </c>
      <c r="E407" s="144" t="s">
        <v>17</v>
      </c>
      <c r="F407" s="144" t="s">
        <v>61</v>
      </c>
      <c r="G407" s="144">
        <v>10.25</v>
      </c>
      <c r="H407" s="144">
        <v>10.8</v>
      </c>
      <c r="I407" s="144">
        <v>110.7</v>
      </c>
    </row>
    <row r="408" ht="20.25" hidden="1" customHeight="1">
      <c r="A408" s="144">
        <v>2025.0</v>
      </c>
      <c r="B408" s="144">
        <v>10.0</v>
      </c>
      <c r="C408" s="144" t="s">
        <v>244</v>
      </c>
      <c r="D408" s="144" t="s">
        <v>245</v>
      </c>
      <c r="E408" s="144" t="s">
        <v>35</v>
      </c>
      <c r="F408" s="144" t="s">
        <v>61</v>
      </c>
      <c r="G408" s="144">
        <v>16.5</v>
      </c>
      <c r="H408" s="144">
        <v>42.9</v>
      </c>
      <c r="I408" s="144">
        <v>707.85</v>
      </c>
    </row>
    <row r="409" ht="20.25" hidden="1" customHeight="1">
      <c r="A409" s="144">
        <v>2025.0</v>
      </c>
      <c r="B409" s="144">
        <v>11.0</v>
      </c>
      <c r="C409" s="144" t="s">
        <v>244</v>
      </c>
      <c r="D409" s="144" t="s">
        <v>245</v>
      </c>
      <c r="E409" s="144" t="s">
        <v>35</v>
      </c>
      <c r="F409" s="144" t="s">
        <v>61</v>
      </c>
      <c r="G409" s="144">
        <v>7.0</v>
      </c>
      <c r="H409" s="144">
        <v>42.9</v>
      </c>
      <c r="I409" s="144">
        <v>300.3</v>
      </c>
    </row>
    <row r="410" ht="20.25" hidden="1" customHeight="1">
      <c r="A410" s="144">
        <v>2025.0</v>
      </c>
      <c r="B410" s="144">
        <v>11.0</v>
      </c>
      <c r="C410" s="144" t="s">
        <v>244</v>
      </c>
      <c r="D410" s="144" t="s">
        <v>245</v>
      </c>
      <c r="E410" s="144" t="s">
        <v>35</v>
      </c>
      <c r="F410" s="144" t="s">
        <v>61</v>
      </c>
      <c r="G410" s="144">
        <v>10.0</v>
      </c>
      <c r="H410" s="144">
        <v>42.9</v>
      </c>
      <c r="I410" s="144">
        <v>429.0</v>
      </c>
    </row>
    <row r="411" ht="20.25" hidden="1" customHeight="1">
      <c r="A411" s="144">
        <v>2025.0</v>
      </c>
      <c r="B411" s="144">
        <v>12.0</v>
      </c>
      <c r="C411" s="144" t="s">
        <v>244</v>
      </c>
      <c r="D411" s="144" t="s">
        <v>245</v>
      </c>
      <c r="E411" s="144" t="s">
        <v>35</v>
      </c>
      <c r="F411" s="144" t="s">
        <v>61</v>
      </c>
      <c r="G411" s="144">
        <v>17.0</v>
      </c>
      <c r="H411" s="144">
        <v>42.9</v>
      </c>
      <c r="I411" s="144">
        <v>729.3</v>
      </c>
    </row>
    <row r="412" ht="20.25" hidden="1" customHeight="1">
      <c r="A412" s="144">
        <v>2025.0</v>
      </c>
      <c r="B412" s="144">
        <v>12.0</v>
      </c>
      <c r="C412" s="144" t="s">
        <v>486</v>
      </c>
      <c r="D412" s="144" t="s">
        <v>39</v>
      </c>
      <c r="E412" s="144" t="s">
        <v>15</v>
      </c>
      <c r="F412" s="144" t="s">
        <v>61</v>
      </c>
      <c r="G412" s="144">
        <v>21.0</v>
      </c>
      <c r="H412" s="144">
        <v>0.01</v>
      </c>
      <c r="I412" s="144">
        <v>0.21</v>
      </c>
    </row>
    <row r="413" ht="20.25" hidden="1" customHeight="1">
      <c r="A413" s="144">
        <v>2025.0</v>
      </c>
      <c r="B413" s="144">
        <v>11.0</v>
      </c>
      <c r="C413" s="144" t="s">
        <v>246</v>
      </c>
      <c r="D413" s="144" t="s">
        <v>215</v>
      </c>
      <c r="E413" s="144" t="s">
        <v>15</v>
      </c>
      <c r="F413" s="144" t="s">
        <v>61</v>
      </c>
      <c r="G413" s="144">
        <v>1.5</v>
      </c>
      <c r="H413" s="144">
        <v>18.0</v>
      </c>
      <c r="I413" s="144">
        <v>27.0</v>
      </c>
    </row>
    <row r="414" ht="20.25" hidden="1" customHeight="1">
      <c r="A414" s="144">
        <v>2025.0</v>
      </c>
      <c r="B414" s="144">
        <v>11.0</v>
      </c>
      <c r="C414" s="144" t="s">
        <v>165</v>
      </c>
      <c r="D414" s="144" t="s">
        <v>248</v>
      </c>
      <c r="E414" s="144" t="s">
        <v>23</v>
      </c>
      <c r="F414" s="144" t="s">
        <v>61</v>
      </c>
      <c r="G414" s="144">
        <v>2.0</v>
      </c>
      <c r="H414" s="144">
        <v>29.6</v>
      </c>
      <c r="I414" s="144">
        <v>59.2</v>
      </c>
    </row>
    <row r="415" ht="20.25" hidden="1" customHeight="1">
      <c r="A415" s="144">
        <v>2025.0</v>
      </c>
      <c r="B415" s="144">
        <v>12.0</v>
      </c>
      <c r="C415" s="144" t="s">
        <v>165</v>
      </c>
      <c r="D415" s="144" t="s">
        <v>248</v>
      </c>
      <c r="E415" s="144" t="s">
        <v>23</v>
      </c>
      <c r="F415" s="144" t="s">
        <v>61</v>
      </c>
      <c r="G415" s="144">
        <v>7.0</v>
      </c>
      <c r="H415" s="144">
        <v>29.6</v>
      </c>
      <c r="I415" s="144">
        <v>207.2</v>
      </c>
    </row>
    <row r="416" ht="20.25" hidden="1" customHeight="1">
      <c r="A416" s="144">
        <v>2025.0</v>
      </c>
      <c r="B416" s="144">
        <v>10.0</v>
      </c>
      <c r="C416" s="144" t="s">
        <v>249</v>
      </c>
      <c r="D416" s="144" t="s">
        <v>42</v>
      </c>
      <c r="E416" s="144" t="s">
        <v>28</v>
      </c>
      <c r="F416" s="144" t="s">
        <v>61</v>
      </c>
      <c r="G416" s="144">
        <v>22.5</v>
      </c>
      <c r="H416" s="144">
        <v>34.6</v>
      </c>
      <c r="I416" s="144">
        <v>778.5</v>
      </c>
    </row>
    <row r="417" ht="20.25" hidden="1" customHeight="1">
      <c r="A417" s="144">
        <v>2025.0</v>
      </c>
      <c r="B417" s="144">
        <v>11.0</v>
      </c>
      <c r="C417" s="144" t="s">
        <v>249</v>
      </c>
      <c r="D417" s="144" t="s">
        <v>42</v>
      </c>
      <c r="E417" s="144" t="s">
        <v>28</v>
      </c>
      <c r="F417" s="144" t="s">
        <v>61</v>
      </c>
      <c r="G417" s="144">
        <v>14.5</v>
      </c>
      <c r="H417" s="144">
        <v>34.6</v>
      </c>
      <c r="I417" s="144">
        <v>501.7</v>
      </c>
    </row>
    <row r="418" ht="20.25" hidden="1" customHeight="1">
      <c r="A418" s="144">
        <v>2025.0</v>
      </c>
      <c r="B418" s="144">
        <v>12.0</v>
      </c>
      <c r="C418" s="144" t="s">
        <v>249</v>
      </c>
      <c r="D418" s="144" t="s">
        <v>42</v>
      </c>
      <c r="E418" s="144" t="s">
        <v>28</v>
      </c>
      <c r="F418" s="144" t="s">
        <v>61</v>
      </c>
      <c r="G418" s="144">
        <v>12.0</v>
      </c>
      <c r="H418" s="144">
        <v>34.6</v>
      </c>
      <c r="I418" s="144">
        <v>415.2</v>
      </c>
    </row>
    <row r="419" ht="20.25" hidden="1" customHeight="1">
      <c r="A419" s="144">
        <v>2025.0</v>
      </c>
      <c r="B419" s="144">
        <v>11.0</v>
      </c>
      <c r="C419" s="144" t="s">
        <v>246</v>
      </c>
      <c r="D419" s="144" t="s">
        <v>247</v>
      </c>
      <c r="E419" s="144" t="s">
        <v>15</v>
      </c>
      <c r="F419" s="144" t="s">
        <v>61</v>
      </c>
      <c r="G419" s="144">
        <v>5.5</v>
      </c>
      <c r="H419" s="144">
        <v>34.9</v>
      </c>
      <c r="I419" s="144">
        <v>191.95</v>
      </c>
    </row>
    <row r="420" ht="20.25" hidden="1" customHeight="1">
      <c r="A420" s="144">
        <v>2025.0</v>
      </c>
      <c r="B420" s="144">
        <v>12.0</v>
      </c>
      <c r="C420" s="144" t="s">
        <v>246</v>
      </c>
      <c r="D420" s="144" t="s">
        <v>247</v>
      </c>
      <c r="E420" s="144" t="s">
        <v>15</v>
      </c>
      <c r="F420" s="144" t="s">
        <v>61</v>
      </c>
      <c r="G420" s="144">
        <v>20.0</v>
      </c>
      <c r="H420" s="144">
        <v>34.9</v>
      </c>
      <c r="I420" s="144">
        <v>698.0</v>
      </c>
    </row>
    <row r="421" ht="20.25" hidden="1" customHeight="1">
      <c r="A421" s="144">
        <v>2025.0</v>
      </c>
      <c r="B421" s="144">
        <v>10.0</v>
      </c>
      <c r="C421" s="144" t="s">
        <v>250</v>
      </c>
      <c r="D421" s="144" t="s">
        <v>43</v>
      </c>
      <c r="E421" s="144" t="s">
        <v>15</v>
      </c>
      <c r="F421" s="144" t="s">
        <v>61</v>
      </c>
      <c r="G421" s="144">
        <v>22.0</v>
      </c>
      <c r="H421" s="144">
        <v>36.6</v>
      </c>
      <c r="I421" s="144">
        <v>805.2</v>
      </c>
    </row>
    <row r="422" ht="20.25" hidden="1" customHeight="1">
      <c r="A422" s="144">
        <v>2025.0</v>
      </c>
      <c r="B422" s="144">
        <v>11.0</v>
      </c>
      <c r="C422" s="144" t="s">
        <v>250</v>
      </c>
      <c r="D422" s="144" t="s">
        <v>43</v>
      </c>
      <c r="E422" s="144" t="s">
        <v>15</v>
      </c>
      <c r="F422" s="144" t="s">
        <v>61</v>
      </c>
      <c r="G422" s="144">
        <v>14.0</v>
      </c>
      <c r="H422" s="144">
        <v>36.6</v>
      </c>
      <c r="I422" s="144">
        <v>512.4</v>
      </c>
    </row>
    <row r="423" ht="20.25" hidden="1" customHeight="1">
      <c r="A423" s="144">
        <v>2025.0</v>
      </c>
      <c r="B423" s="144">
        <v>12.0</v>
      </c>
      <c r="C423" s="144" t="s">
        <v>250</v>
      </c>
      <c r="D423" s="144" t="s">
        <v>43</v>
      </c>
      <c r="E423" s="144" t="s">
        <v>15</v>
      </c>
      <c r="F423" s="144" t="s">
        <v>61</v>
      </c>
      <c r="G423" s="144">
        <v>21.0</v>
      </c>
      <c r="H423" s="144">
        <v>36.6</v>
      </c>
      <c r="I423" s="144">
        <v>768.6</v>
      </c>
    </row>
    <row r="424" ht="20.25" hidden="1" customHeight="1">
      <c r="A424" s="144">
        <v>2025.0</v>
      </c>
      <c r="B424" s="144">
        <v>10.0</v>
      </c>
      <c r="C424" s="144" t="s">
        <v>490</v>
      </c>
      <c r="D424" s="144" t="s">
        <v>44</v>
      </c>
      <c r="E424" s="144" t="s">
        <v>142</v>
      </c>
      <c r="F424" s="144" t="s">
        <v>61</v>
      </c>
      <c r="G424" s="144">
        <v>6.0</v>
      </c>
      <c r="H424" s="144">
        <v>11.2</v>
      </c>
      <c r="I424" s="144">
        <v>67.2</v>
      </c>
    </row>
    <row r="425" ht="20.25" hidden="1" customHeight="1">
      <c r="A425" s="144">
        <v>2025.0</v>
      </c>
      <c r="B425" s="144">
        <v>10.0</v>
      </c>
      <c r="C425" s="144" t="s">
        <v>490</v>
      </c>
      <c r="D425" s="144" t="s">
        <v>44</v>
      </c>
      <c r="E425" s="144" t="s">
        <v>142</v>
      </c>
      <c r="F425" s="144" t="s">
        <v>61</v>
      </c>
      <c r="G425" s="144">
        <v>16.0</v>
      </c>
      <c r="H425" s="144">
        <v>11.2</v>
      </c>
      <c r="I425" s="144">
        <v>179.2</v>
      </c>
    </row>
    <row r="426" ht="20.25" hidden="1" customHeight="1">
      <c r="A426" s="144">
        <v>2025.0</v>
      </c>
      <c r="B426" s="144">
        <v>11.0</v>
      </c>
      <c r="C426" s="144" t="s">
        <v>252</v>
      </c>
      <c r="D426" s="144" t="s">
        <v>44</v>
      </c>
      <c r="E426" s="144" t="s">
        <v>15</v>
      </c>
      <c r="F426" s="144" t="s">
        <v>113</v>
      </c>
      <c r="G426" s="144">
        <v>19.0</v>
      </c>
      <c r="H426" s="144">
        <v>20.2</v>
      </c>
      <c r="I426" s="144">
        <v>383.8</v>
      </c>
    </row>
    <row r="427" ht="20.25" hidden="1" customHeight="1">
      <c r="A427" s="144">
        <v>2025.0</v>
      </c>
      <c r="B427" s="144">
        <v>12.0</v>
      </c>
      <c r="C427" s="144" t="s">
        <v>252</v>
      </c>
      <c r="D427" s="144" t="s">
        <v>44</v>
      </c>
      <c r="E427" s="144" t="s">
        <v>15</v>
      </c>
      <c r="F427" s="144" t="s">
        <v>113</v>
      </c>
      <c r="G427" s="144">
        <v>21.0</v>
      </c>
      <c r="H427" s="144">
        <v>20.2</v>
      </c>
      <c r="I427" s="144">
        <v>424.2</v>
      </c>
    </row>
    <row r="428" ht="20.25" hidden="1" customHeight="1">
      <c r="A428" s="144">
        <v>2025.0</v>
      </c>
      <c r="B428" s="144">
        <v>10.0</v>
      </c>
      <c r="C428" s="144" t="s">
        <v>490</v>
      </c>
      <c r="D428" s="144" t="s">
        <v>44</v>
      </c>
      <c r="E428" s="144" t="s">
        <v>15</v>
      </c>
      <c r="F428" s="144" t="s">
        <v>61</v>
      </c>
      <c r="G428" s="144">
        <v>6.0</v>
      </c>
      <c r="H428" s="144">
        <v>33.7</v>
      </c>
      <c r="I428" s="144">
        <v>202.2</v>
      </c>
    </row>
    <row r="429" ht="20.25" hidden="1" customHeight="1">
      <c r="A429" s="144">
        <v>2025.0</v>
      </c>
      <c r="B429" s="144">
        <v>10.0</v>
      </c>
      <c r="C429" s="144" t="s">
        <v>490</v>
      </c>
      <c r="D429" s="144" t="s">
        <v>44</v>
      </c>
      <c r="E429" s="144" t="s">
        <v>15</v>
      </c>
      <c r="F429" s="144" t="s">
        <v>61</v>
      </c>
      <c r="G429" s="144">
        <v>16.0</v>
      </c>
      <c r="H429" s="144">
        <v>33.7</v>
      </c>
      <c r="I429" s="144">
        <v>539.2</v>
      </c>
    </row>
    <row r="430" ht="20.25" hidden="1" customHeight="1">
      <c r="A430" s="144">
        <v>2025.0</v>
      </c>
      <c r="B430" s="144">
        <v>10.0</v>
      </c>
      <c r="C430" s="144" t="s">
        <v>253</v>
      </c>
      <c r="D430" s="144" t="s">
        <v>254</v>
      </c>
      <c r="E430" s="144" t="s">
        <v>15</v>
      </c>
      <c r="F430" s="144" t="s">
        <v>61</v>
      </c>
      <c r="G430" s="144">
        <v>4.5</v>
      </c>
      <c r="H430" s="144">
        <v>100.0</v>
      </c>
      <c r="I430" s="144">
        <v>450.0</v>
      </c>
    </row>
    <row r="431" ht="20.25" hidden="1" customHeight="1">
      <c r="A431" s="144">
        <v>2025.0</v>
      </c>
      <c r="B431" s="144">
        <v>10.0</v>
      </c>
      <c r="C431" s="144" t="s">
        <v>253</v>
      </c>
      <c r="D431" s="144" t="s">
        <v>254</v>
      </c>
      <c r="E431" s="144" t="s">
        <v>15</v>
      </c>
      <c r="F431" s="144" t="s">
        <v>61</v>
      </c>
      <c r="G431" s="144">
        <v>18.5</v>
      </c>
      <c r="H431" s="144">
        <v>100.0</v>
      </c>
      <c r="I431" s="144">
        <v>1850.0</v>
      </c>
    </row>
    <row r="432" ht="20.25" hidden="1" customHeight="1">
      <c r="A432" s="144">
        <v>2025.0</v>
      </c>
      <c r="B432" s="144">
        <v>10.0</v>
      </c>
      <c r="C432" s="144" t="s">
        <v>206</v>
      </c>
      <c r="D432" s="144" t="s">
        <v>255</v>
      </c>
      <c r="E432" s="144" t="s">
        <v>28</v>
      </c>
      <c r="F432" s="144" t="s">
        <v>113</v>
      </c>
      <c r="G432" s="144">
        <v>11.0</v>
      </c>
      <c r="H432" s="144">
        <v>32.4</v>
      </c>
      <c r="I432" s="144">
        <v>356.4</v>
      </c>
    </row>
    <row r="433" ht="20.25" hidden="1" customHeight="1">
      <c r="A433" s="144">
        <v>2025.0</v>
      </c>
      <c r="B433" s="144">
        <v>10.0</v>
      </c>
      <c r="C433" s="144" t="s">
        <v>206</v>
      </c>
      <c r="D433" s="144" t="s">
        <v>255</v>
      </c>
      <c r="E433" s="144" t="s">
        <v>42</v>
      </c>
      <c r="F433" s="144" t="s">
        <v>113</v>
      </c>
      <c r="G433" s="144">
        <v>11.0</v>
      </c>
      <c r="H433" s="144">
        <v>10.8</v>
      </c>
      <c r="I433" s="144">
        <v>118.8</v>
      </c>
    </row>
    <row r="434" ht="20.25" hidden="1" customHeight="1">
      <c r="A434" s="144">
        <v>2025.0</v>
      </c>
      <c r="B434" s="144">
        <v>11.0</v>
      </c>
      <c r="C434" s="144" t="s">
        <v>206</v>
      </c>
      <c r="D434" s="144" t="s">
        <v>255</v>
      </c>
      <c r="E434" s="144" t="s">
        <v>28</v>
      </c>
      <c r="F434" s="144" t="s">
        <v>113</v>
      </c>
      <c r="G434" s="144">
        <v>19.0</v>
      </c>
      <c r="H434" s="144">
        <v>32.4</v>
      </c>
      <c r="I434" s="144">
        <v>615.6</v>
      </c>
    </row>
    <row r="435" ht="20.25" hidden="1" customHeight="1">
      <c r="A435" s="144">
        <v>2025.0</v>
      </c>
      <c r="B435" s="144">
        <v>11.0</v>
      </c>
      <c r="C435" s="144" t="s">
        <v>206</v>
      </c>
      <c r="D435" s="144" t="s">
        <v>255</v>
      </c>
      <c r="E435" s="144" t="s">
        <v>42</v>
      </c>
      <c r="F435" s="144" t="s">
        <v>113</v>
      </c>
      <c r="G435" s="144">
        <v>19.0</v>
      </c>
      <c r="H435" s="144">
        <v>10.8</v>
      </c>
      <c r="I435" s="144">
        <v>205.2</v>
      </c>
    </row>
    <row r="436" ht="20.25" hidden="1" customHeight="1">
      <c r="A436" s="144">
        <v>2025.0</v>
      </c>
      <c r="B436" s="144">
        <v>12.0</v>
      </c>
      <c r="C436" s="144" t="s">
        <v>206</v>
      </c>
      <c r="D436" s="144" t="s">
        <v>255</v>
      </c>
      <c r="E436" s="144" t="s">
        <v>28</v>
      </c>
      <c r="F436" s="144" t="s">
        <v>113</v>
      </c>
      <c r="G436" s="144">
        <v>14.0</v>
      </c>
      <c r="H436" s="144">
        <v>32.4</v>
      </c>
      <c r="I436" s="144">
        <v>453.6</v>
      </c>
    </row>
    <row r="437" ht="20.25" hidden="1" customHeight="1">
      <c r="A437" s="144">
        <v>2025.0</v>
      </c>
      <c r="B437" s="144">
        <v>12.0</v>
      </c>
      <c r="C437" s="144" t="s">
        <v>206</v>
      </c>
      <c r="D437" s="144" t="s">
        <v>255</v>
      </c>
      <c r="E437" s="144" t="s">
        <v>42</v>
      </c>
      <c r="F437" s="144" t="s">
        <v>113</v>
      </c>
      <c r="G437" s="144">
        <v>14.0</v>
      </c>
      <c r="H437" s="144">
        <v>10.8</v>
      </c>
      <c r="I437" s="144">
        <v>151.2</v>
      </c>
    </row>
    <row r="438" ht="20.25" hidden="1" customHeight="1">
      <c r="A438" s="144">
        <v>2025.0</v>
      </c>
      <c r="B438" s="144">
        <v>10.0</v>
      </c>
      <c r="C438" s="144" t="s">
        <v>491</v>
      </c>
      <c r="D438" s="144" t="s">
        <v>492</v>
      </c>
      <c r="E438" s="144" t="s">
        <v>28</v>
      </c>
      <c r="F438" s="144" t="s">
        <v>61</v>
      </c>
      <c r="G438" s="144">
        <v>21.0</v>
      </c>
      <c r="H438" s="144">
        <v>21.9</v>
      </c>
      <c r="I438" s="144">
        <v>459.9</v>
      </c>
    </row>
    <row r="439" ht="20.25" hidden="1" customHeight="1">
      <c r="A439" s="144">
        <v>2025.0</v>
      </c>
      <c r="B439" s="144">
        <v>11.0</v>
      </c>
      <c r="C439" s="144" t="s">
        <v>491</v>
      </c>
      <c r="D439" s="144" t="s">
        <v>492</v>
      </c>
      <c r="E439" s="144" t="s">
        <v>28</v>
      </c>
      <c r="F439" s="144" t="s">
        <v>61</v>
      </c>
      <c r="G439" s="144">
        <v>17.0</v>
      </c>
      <c r="H439" s="144">
        <v>21.9</v>
      </c>
      <c r="I439" s="144">
        <v>372.3</v>
      </c>
    </row>
    <row r="440" ht="20.25" hidden="1" customHeight="1">
      <c r="A440" s="144">
        <v>2025.0</v>
      </c>
      <c r="B440" s="144">
        <v>12.0</v>
      </c>
      <c r="C440" s="144" t="s">
        <v>491</v>
      </c>
      <c r="D440" s="144" t="s">
        <v>492</v>
      </c>
      <c r="E440" s="144" t="s">
        <v>28</v>
      </c>
      <c r="F440" s="144" t="s">
        <v>61</v>
      </c>
      <c r="G440" s="144">
        <v>13.0</v>
      </c>
      <c r="H440" s="144">
        <v>21.9</v>
      </c>
      <c r="I440" s="144">
        <v>284.7</v>
      </c>
    </row>
    <row r="441" ht="20.25" hidden="1" customHeight="1">
      <c r="A441" s="144">
        <v>2025.0</v>
      </c>
      <c r="B441" s="144">
        <v>10.0</v>
      </c>
      <c r="C441" s="144" t="s">
        <v>493</v>
      </c>
      <c r="D441" s="144" t="s">
        <v>494</v>
      </c>
      <c r="E441" s="144" t="s">
        <v>35</v>
      </c>
      <c r="F441" s="144" t="s">
        <v>61</v>
      </c>
      <c r="G441" s="144">
        <v>23.0</v>
      </c>
      <c r="H441" s="144">
        <v>15.0</v>
      </c>
      <c r="I441" s="144">
        <v>345.0</v>
      </c>
    </row>
    <row r="442" ht="20.25" hidden="1" customHeight="1">
      <c r="A442" s="144">
        <v>2025.0</v>
      </c>
      <c r="B442" s="144">
        <v>11.0</v>
      </c>
      <c r="C442" s="144" t="s">
        <v>493</v>
      </c>
      <c r="D442" s="144" t="s">
        <v>494</v>
      </c>
      <c r="E442" s="144" t="s">
        <v>35</v>
      </c>
      <c r="F442" s="144" t="s">
        <v>61</v>
      </c>
      <c r="G442" s="144">
        <v>16.0</v>
      </c>
      <c r="H442" s="144">
        <v>15.0</v>
      </c>
      <c r="I442" s="144">
        <v>240.0</v>
      </c>
    </row>
    <row r="443" ht="20.25" hidden="1" customHeight="1">
      <c r="A443" s="144">
        <v>2025.0</v>
      </c>
      <c r="B443" s="144">
        <v>12.0</v>
      </c>
      <c r="C443" s="144" t="s">
        <v>493</v>
      </c>
      <c r="D443" s="144" t="s">
        <v>494</v>
      </c>
      <c r="E443" s="144" t="s">
        <v>35</v>
      </c>
      <c r="F443" s="144" t="s">
        <v>61</v>
      </c>
      <c r="G443" s="144">
        <v>15.0</v>
      </c>
      <c r="H443" s="144">
        <v>15.0</v>
      </c>
      <c r="I443" s="144">
        <v>225.0</v>
      </c>
    </row>
    <row r="444" ht="20.25" hidden="1" customHeight="1">
      <c r="A444" s="144">
        <v>2025.0</v>
      </c>
      <c r="B444" s="144">
        <v>10.0</v>
      </c>
      <c r="C444" s="144" t="s">
        <v>256</v>
      </c>
      <c r="D444" s="144" t="s">
        <v>257</v>
      </c>
      <c r="E444" s="144" t="s">
        <v>453</v>
      </c>
      <c r="F444" s="144" t="s">
        <v>61</v>
      </c>
      <c r="G444" s="144">
        <v>9.0</v>
      </c>
      <c r="H444" s="144">
        <v>35.0</v>
      </c>
      <c r="I444" s="144">
        <v>315.0</v>
      </c>
    </row>
    <row r="445" ht="20.25" hidden="1" customHeight="1">
      <c r="A445" s="144">
        <v>2025.0</v>
      </c>
      <c r="B445" s="144">
        <v>10.0</v>
      </c>
      <c r="C445" s="144" t="s">
        <v>256</v>
      </c>
      <c r="D445" s="144" t="s">
        <v>257</v>
      </c>
      <c r="E445" s="144" t="s">
        <v>453</v>
      </c>
      <c r="F445" s="144" t="s">
        <v>61</v>
      </c>
      <c r="G445" s="144">
        <v>13.0</v>
      </c>
      <c r="H445" s="144">
        <v>35.0</v>
      </c>
      <c r="I445" s="144">
        <v>455.0</v>
      </c>
    </row>
    <row r="446" ht="20.25" hidden="1" customHeight="1">
      <c r="A446" s="144">
        <v>2025.0</v>
      </c>
      <c r="B446" s="144">
        <v>10.0</v>
      </c>
      <c r="C446" s="144" t="s">
        <v>256</v>
      </c>
      <c r="D446" s="144" t="s">
        <v>257</v>
      </c>
      <c r="E446" s="144" t="s">
        <v>23</v>
      </c>
      <c r="F446" s="144" t="s">
        <v>61</v>
      </c>
      <c r="G446" s="144">
        <v>9.0</v>
      </c>
      <c r="H446" s="144">
        <v>47.0</v>
      </c>
      <c r="I446" s="144">
        <v>423.0</v>
      </c>
    </row>
    <row r="447" ht="20.25" hidden="1" customHeight="1">
      <c r="A447" s="144">
        <v>2025.0</v>
      </c>
      <c r="B447" s="144">
        <v>10.0</v>
      </c>
      <c r="C447" s="144" t="s">
        <v>256</v>
      </c>
      <c r="D447" s="144" t="s">
        <v>257</v>
      </c>
      <c r="E447" s="144" t="s">
        <v>23</v>
      </c>
      <c r="F447" s="144" t="s">
        <v>61</v>
      </c>
      <c r="G447" s="144">
        <v>13.0</v>
      </c>
      <c r="H447" s="144">
        <v>47.0</v>
      </c>
      <c r="I447" s="144">
        <v>611.0</v>
      </c>
    </row>
    <row r="448" ht="20.25" hidden="1" customHeight="1">
      <c r="A448" s="144">
        <v>2025.0</v>
      </c>
      <c r="B448" s="144">
        <v>11.0</v>
      </c>
      <c r="C448" s="144" t="s">
        <v>256</v>
      </c>
      <c r="D448" s="144" t="s">
        <v>257</v>
      </c>
      <c r="E448" s="144" t="s">
        <v>453</v>
      </c>
      <c r="F448" s="144" t="s">
        <v>61</v>
      </c>
      <c r="G448" s="144">
        <v>19.0</v>
      </c>
      <c r="H448" s="144">
        <v>35.0</v>
      </c>
      <c r="I448" s="144">
        <v>665.0</v>
      </c>
    </row>
    <row r="449" ht="20.25" hidden="1" customHeight="1">
      <c r="A449" s="144">
        <v>2025.0</v>
      </c>
      <c r="B449" s="144">
        <v>11.0</v>
      </c>
      <c r="C449" s="144" t="s">
        <v>256</v>
      </c>
      <c r="D449" s="44" t="s">
        <v>257</v>
      </c>
      <c r="E449" s="144" t="s">
        <v>23</v>
      </c>
      <c r="F449" s="144" t="s">
        <v>61</v>
      </c>
      <c r="G449" s="144">
        <v>19.0</v>
      </c>
      <c r="H449" s="144">
        <v>47.0</v>
      </c>
      <c r="I449" s="144">
        <v>893.0</v>
      </c>
    </row>
    <row r="450" ht="20.25" hidden="1" customHeight="1">
      <c r="A450" s="144">
        <v>2025.0</v>
      </c>
      <c r="B450" s="144">
        <v>12.0</v>
      </c>
      <c r="C450" s="144" t="s">
        <v>256</v>
      </c>
      <c r="D450" s="144" t="s">
        <v>257</v>
      </c>
      <c r="E450" s="144" t="s">
        <v>453</v>
      </c>
      <c r="F450" s="144" t="s">
        <v>61</v>
      </c>
      <c r="G450" s="144">
        <v>19.5</v>
      </c>
      <c r="H450" s="144">
        <v>35.0</v>
      </c>
      <c r="I450" s="144">
        <v>682.5</v>
      </c>
    </row>
    <row r="451" ht="20.25" hidden="1" customHeight="1">
      <c r="A451" s="144">
        <v>2025.0</v>
      </c>
      <c r="B451" s="144">
        <v>12.0</v>
      </c>
      <c r="C451" s="144" t="s">
        <v>256</v>
      </c>
      <c r="D451" s="144" t="s">
        <v>257</v>
      </c>
      <c r="E451" s="144" t="s">
        <v>23</v>
      </c>
      <c r="F451" s="144" t="s">
        <v>61</v>
      </c>
      <c r="G451" s="144">
        <v>19.5</v>
      </c>
      <c r="H451" s="144">
        <v>47.0</v>
      </c>
      <c r="I451" s="144">
        <v>916.5</v>
      </c>
    </row>
    <row r="452" ht="20.25" hidden="1" customHeight="1">
      <c r="A452" s="144">
        <v>2025.0</v>
      </c>
      <c r="B452" s="144">
        <v>11.0</v>
      </c>
      <c r="C452" s="144" t="s">
        <v>471</v>
      </c>
      <c r="D452" s="144" t="s">
        <v>259</v>
      </c>
      <c r="E452" s="144" t="s">
        <v>31</v>
      </c>
      <c r="F452" s="144" t="s">
        <v>113</v>
      </c>
      <c r="G452" s="144">
        <v>17.0</v>
      </c>
      <c r="H452" s="144">
        <v>91.8</v>
      </c>
      <c r="I452" s="144">
        <v>1560.6</v>
      </c>
    </row>
    <row r="453" ht="20.25" hidden="1" customHeight="1">
      <c r="A453" s="144">
        <v>2025.0</v>
      </c>
      <c r="B453" s="144">
        <v>12.0</v>
      </c>
      <c r="C453" s="144" t="s">
        <v>471</v>
      </c>
      <c r="D453" s="144" t="s">
        <v>259</v>
      </c>
      <c r="E453" s="144" t="s">
        <v>31</v>
      </c>
      <c r="F453" s="144" t="s">
        <v>113</v>
      </c>
      <c r="G453" s="144">
        <v>21.0</v>
      </c>
      <c r="H453" s="144">
        <v>91.8</v>
      </c>
      <c r="I453" s="144">
        <v>1927.8</v>
      </c>
    </row>
    <row r="454" ht="20.25" hidden="1" customHeight="1">
      <c r="A454" s="144">
        <v>2025.0</v>
      </c>
      <c r="B454" s="144">
        <v>10.0</v>
      </c>
      <c r="C454" s="144" t="s">
        <v>260</v>
      </c>
      <c r="D454" s="144" t="s">
        <v>261</v>
      </c>
      <c r="E454" s="144" t="s">
        <v>28</v>
      </c>
      <c r="F454" s="144" t="s">
        <v>61</v>
      </c>
      <c r="G454" s="144">
        <v>15.0</v>
      </c>
      <c r="H454" s="144">
        <v>4.0</v>
      </c>
      <c r="I454" s="144">
        <v>60.0</v>
      </c>
    </row>
    <row r="455" ht="20.25" hidden="1" customHeight="1">
      <c r="A455" s="144">
        <v>2025.0</v>
      </c>
      <c r="B455" s="144">
        <v>11.0</v>
      </c>
      <c r="C455" s="144" t="s">
        <v>260</v>
      </c>
      <c r="D455" s="144" t="s">
        <v>261</v>
      </c>
      <c r="E455" s="144" t="s">
        <v>28</v>
      </c>
      <c r="F455" s="144" t="s">
        <v>61</v>
      </c>
      <c r="G455" s="144">
        <v>16.0</v>
      </c>
      <c r="H455" s="144">
        <v>4.0</v>
      </c>
      <c r="I455" s="144">
        <v>64.0</v>
      </c>
    </row>
    <row r="456" ht="20.25" hidden="1" customHeight="1">
      <c r="A456" s="144">
        <v>2025.0</v>
      </c>
      <c r="B456" s="144">
        <v>12.0</v>
      </c>
      <c r="C456" s="144" t="s">
        <v>260</v>
      </c>
      <c r="D456" s="144" t="s">
        <v>261</v>
      </c>
      <c r="E456" s="144" t="s">
        <v>28</v>
      </c>
      <c r="F456" s="144" t="s">
        <v>61</v>
      </c>
      <c r="G456" s="144">
        <v>21.0</v>
      </c>
      <c r="H456" s="144">
        <v>4.0</v>
      </c>
      <c r="I456" s="144">
        <v>84.0</v>
      </c>
    </row>
    <row r="457" ht="20.25" hidden="1" customHeight="1">
      <c r="A457" s="144">
        <v>2025.0</v>
      </c>
      <c r="B457" s="144">
        <v>10.0</v>
      </c>
      <c r="C457" s="144" t="s">
        <v>264</v>
      </c>
      <c r="D457" s="144" t="s">
        <v>45</v>
      </c>
      <c r="E457" s="144" t="s">
        <v>45</v>
      </c>
      <c r="F457" s="144" t="s">
        <v>61</v>
      </c>
      <c r="G457" s="144">
        <v>22.0</v>
      </c>
      <c r="H457" s="144">
        <v>12.0</v>
      </c>
      <c r="I457" s="144">
        <v>264.0</v>
      </c>
    </row>
    <row r="458" ht="20.25" hidden="1" customHeight="1">
      <c r="A458" s="144">
        <v>2025.0</v>
      </c>
      <c r="B458" s="144">
        <v>11.0</v>
      </c>
      <c r="C458" s="144" t="s">
        <v>264</v>
      </c>
      <c r="D458" s="144" t="s">
        <v>45</v>
      </c>
      <c r="E458" s="144" t="s">
        <v>45</v>
      </c>
      <c r="F458" s="144" t="s">
        <v>61</v>
      </c>
      <c r="G458" s="144">
        <v>17.5</v>
      </c>
      <c r="H458" s="144">
        <v>12.0</v>
      </c>
      <c r="I458" s="144">
        <v>210.0</v>
      </c>
    </row>
    <row r="459" ht="20.25" hidden="1" customHeight="1">
      <c r="A459" s="144">
        <v>2025.0</v>
      </c>
      <c r="B459" s="144">
        <v>12.0</v>
      </c>
      <c r="C459" s="144" t="s">
        <v>264</v>
      </c>
      <c r="D459" s="144" t="s">
        <v>45</v>
      </c>
      <c r="E459" s="144" t="s">
        <v>45</v>
      </c>
      <c r="F459" s="144" t="s">
        <v>61</v>
      </c>
      <c r="G459" s="144">
        <v>21.5</v>
      </c>
      <c r="H459" s="144">
        <v>12.0</v>
      </c>
      <c r="I459" s="144">
        <v>258.0</v>
      </c>
    </row>
    <row r="460" ht="20.25" hidden="1" customHeight="1">
      <c r="A460" s="144">
        <v>2025.0</v>
      </c>
      <c r="B460" s="144">
        <v>11.0</v>
      </c>
      <c r="C460" s="144" t="s">
        <v>253</v>
      </c>
      <c r="D460" s="144" t="s">
        <v>254</v>
      </c>
      <c r="E460" s="144" t="s">
        <v>15</v>
      </c>
      <c r="F460" s="144" t="s">
        <v>61</v>
      </c>
      <c r="G460" s="144">
        <v>19.0</v>
      </c>
      <c r="H460" s="144">
        <v>100.0</v>
      </c>
      <c r="I460" s="144">
        <v>1900.0</v>
      </c>
    </row>
    <row r="461" ht="20.25" hidden="1" customHeight="1">
      <c r="A461" s="144">
        <v>2025.0</v>
      </c>
      <c r="B461" s="144">
        <v>10.0</v>
      </c>
      <c r="C461" s="144" t="s">
        <v>265</v>
      </c>
      <c r="D461" s="144" t="s">
        <v>46</v>
      </c>
      <c r="E461" s="144" t="s">
        <v>28</v>
      </c>
      <c r="F461" s="144" t="s">
        <v>61</v>
      </c>
      <c r="G461" s="144">
        <v>18.0</v>
      </c>
      <c r="H461" s="144">
        <v>8.1</v>
      </c>
      <c r="I461" s="144">
        <v>145.8</v>
      </c>
    </row>
    <row r="462" ht="20.25" hidden="1" customHeight="1">
      <c r="A462" s="144">
        <v>2025.0</v>
      </c>
      <c r="B462" s="144">
        <v>12.0</v>
      </c>
      <c r="C462" s="144" t="s">
        <v>253</v>
      </c>
      <c r="D462" s="144" t="s">
        <v>254</v>
      </c>
      <c r="E462" s="144" t="s">
        <v>15</v>
      </c>
      <c r="F462" s="144" t="s">
        <v>61</v>
      </c>
      <c r="G462" s="144">
        <v>22.0</v>
      </c>
      <c r="H462" s="144">
        <v>100.0</v>
      </c>
      <c r="I462" s="144">
        <v>2200.0</v>
      </c>
    </row>
    <row r="463" ht="20.25" hidden="1" customHeight="1">
      <c r="A463" s="144">
        <v>2025.0</v>
      </c>
      <c r="B463" s="144">
        <v>11.0</v>
      </c>
      <c r="C463" s="144" t="s">
        <v>265</v>
      </c>
      <c r="D463" s="144" t="s">
        <v>46</v>
      </c>
      <c r="E463" s="144" t="s">
        <v>28</v>
      </c>
      <c r="F463" s="144" t="s">
        <v>61</v>
      </c>
      <c r="G463" s="144">
        <v>16.0</v>
      </c>
      <c r="H463" s="144">
        <v>8.1</v>
      </c>
      <c r="I463" s="144">
        <v>129.6</v>
      </c>
    </row>
    <row r="464" ht="20.25" hidden="1" customHeight="1">
      <c r="A464" s="144">
        <v>2025.0</v>
      </c>
      <c r="B464" s="144">
        <v>10.0</v>
      </c>
      <c r="C464" s="144" t="s">
        <v>265</v>
      </c>
      <c r="D464" s="144" t="s">
        <v>46</v>
      </c>
      <c r="E464" s="144" t="s">
        <v>15</v>
      </c>
      <c r="F464" s="144" t="s">
        <v>61</v>
      </c>
      <c r="G464" s="144">
        <v>18.0</v>
      </c>
      <c r="H464" s="144">
        <v>13.0</v>
      </c>
      <c r="I464" s="144">
        <v>234.0</v>
      </c>
    </row>
    <row r="465" ht="20.25" hidden="1" customHeight="1">
      <c r="A465" s="144">
        <v>2025.0</v>
      </c>
      <c r="B465" s="144">
        <v>12.0</v>
      </c>
      <c r="C465" s="144" t="s">
        <v>265</v>
      </c>
      <c r="D465" s="144" t="s">
        <v>46</v>
      </c>
      <c r="E465" s="144" t="s">
        <v>28</v>
      </c>
      <c r="F465" s="144" t="s">
        <v>61</v>
      </c>
      <c r="G465" s="144">
        <v>19.0</v>
      </c>
      <c r="H465" s="144">
        <v>8.1</v>
      </c>
      <c r="I465" s="144">
        <v>153.9</v>
      </c>
    </row>
    <row r="466" ht="20.25" hidden="1" customHeight="1">
      <c r="A466" s="144">
        <v>2025.0</v>
      </c>
      <c r="B466" s="144">
        <v>10.0</v>
      </c>
      <c r="C466" s="144" t="s">
        <v>74</v>
      </c>
      <c r="D466" s="144" t="s">
        <v>75</v>
      </c>
      <c r="E466" s="144" t="s">
        <v>17</v>
      </c>
      <c r="F466" s="144" t="s">
        <v>61</v>
      </c>
      <c r="G466" s="144">
        <v>19.0</v>
      </c>
      <c r="H466" s="144">
        <v>13.7</v>
      </c>
      <c r="I466" s="144">
        <v>260.3</v>
      </c>
    </row>
    <row r="467" ht="20.25" hidden="1" customHeight="1">
      <c r="A467" s="144">
        <v>2025.0</v>
      </c>
      <c r="B467" s="144">
        <v>11.0</v>
      </c>
      <c r="C467" s="144" t="s">
        <v>74</v>
      </c>
      <c r="D467" s="144" t="s">
        <v>75</v>
      </c>
      <c r="E467" s="144" t="s">
        <v>17</v>
      </c>
      <c r="F467" s="144" t="s">
        <v>61</v>
      </c>
      <c r="G467" s="144">
        <v>18.0</v>
      </c>
      <c r="H467" s="144">
        <v>13.7</v>
      </c>
      <c r="I467" s="144">
        <v>246.6</v>
      </c>
    </row>
    <row r="468" ht="20.25" hidden="1" customHeight="1">
      <c r="A468" s="144">
        <v>2025.0</v>
      </c>
      <c r="B468" s="144">
        <v>12.0</v>
      </c>
      <c r="C468" s="144" t="s">
        <v>74</v>
      </c>
      <c r="D468" s="144" t="s">
        <v>75</v>
      </c>
      <c r="E468" s="144" t="s">
        <v>17</v>
      </c>
      <c r="F468" s="144" t="s">
        <v>61</v>
      </c>
      <c r="G468" s="144">
        <v>18.0</v>
      </c>
      <c r="H468" s="144">
        <v>13.7</v>
      </c>
      <c r="I468" s="144">
        <v>246.6</v>
      </c>
    </row>
    <row r="469" ht="20.25" hidden="1" customHeight="1">
      <c r="A469" s="144">
        <v>2025.0</v>
      </c>
      <c r="B469" s="144">
        <v>11.0</v>
      </c>
      <c r="C469" s="144" t="s">
        <v>265</v>
      </c>
      <c r="D469" s="144" t="s">
        <v>46</v>
      </c>
      <c r="E469" s="144" t="s">
        <v>15</v>
      </c>
      <c r="F469" s="144" t="s">
        <v>61</v>
      </c>
      <c r="G469" s="144">
        <v>16.0</v>
      </c>
      <c r="H469" s="144">
        <v>13.0</v>
      </c>
      <c r="I469" s="144">
        <v>208.0</v>
      </c>
    </row>
    <row r="470" ht="20.25" hidden="1" customHeight="1">
      <c r="A470" s="144">
        <v>2025.0</v>
      </c>
      <c r="B470" s="144">
        <v>12.0</v>
      </c>
      <c r="C470" s="144" t="s">
        <v>265</v>
      </c>
      <c r="D470" s="144" t="s">
        <v>46</v>
      </c>
      <c r="E470" s="144" t="s">
        <v>15</v>
      </c>
      <c r="F470" s="144" t="s">
        <v>61</v>
      </c>
      <c r="G470" s="144">
        <v>19.0</v>
      </c>
      <c r="H470" s="144">
        <v>13.0</v>
      </c>
      <c r="I470" s="144">
        <v>247.0</v>
      </c>
    </row>
    <row r="471" ht="20.25" hidden="1" customHeight="1">
      <c r="A471" s="144">
        <v>2025.0</v>
      </c>
      <c r="B471" s="144">
        <v>10.0</v>
      </c>
      <c r="C471" s="144" t="s">
        <v>266</v>
      </c>
      <c r="D471" s="144" t="s">
        <v>267</v>
      </c>
      <c r="E471" s="144" t="s">
        <v>15</v>
      </c>
      <c r="F471" s="144" t="s">
        <v>61</v>
      </c>
      <c r="G471" s="144">
        <v>22.0</v>
      </c>
      <c r="H471" s="144">
        <v>14.5</v>
      </c>
      <c r="I471" s="144">
        <v>319.0</v>
      </c>
    </row>
    <row r="472" ht="20.25" hidden="1" customHeight="1">
      <c r="A472" s="144">
        <v>2025.0</v>
      </c>
      <c r="B472" s="144">
        <v>10.0</v>
      </c>
      <c r="C472" s="144" t="s">
        <v>268</v>
      </c>
      <c r="D472" s="144" t="s">
        <v>269</v>
      </c>
      <c r="E472" s="144" t="s">
        <v>28</v>
      </c>
      <c r="F472" s="144" t="s">
        <v>61</v>
      </c>
      <c r="G472" s="144">
        <v>15.0</v>
      </c>
      <c r="H472" s="144">
        <v>2.0</v>
      </c>
      <c r="I472" s="144">
        <v>30.0</v>
      </c>
    </row>
    <row r="473" ht="20.25" hidden="1" customHeight="1">
      <c r="A473" s="144">
        <v>2025.0</v>
      </c>
      <c r="B473" s="144">
        <v>10.0</v>
      </c>
      <c r="C473" s="144" t="s">
        <v>495</v>
      </c>
      <c r="D473" s="144" t="s">
        <v>269</v>
      </c>
      <c r="E473" s="144" t="s">
        <v>28</v>
      </c>
      <c r="F473" s="144" t="s">
        <v>61</v>
      </c>
      <c r="G473" s="144">
        <v>8.0</v>
      </c>
      <c r="H473" s="144">
        <v>3.2</v>
      </c>
      <c r="I473" s="144">
        <v>25.6</v>
      </c>
    </row>
    <row r="474" ht="20.25" hidden="1" customHeight="1">
      <c r="A474" s="144">
        <v>2025.0</v>
      </c>
      <c r="B474" s="144">
        <v>11.0</v>
      </c>
      <c r="C474" s="144" t="s">
        <v>268</v>
      </c>
      <c r="D474" s="144" t="s">
        <v>269</v>
      </c>
      <c r="E474" s="144" t="s">
        <v>28</v>
      </c>
      <c r="F474" s="144" t="s">
        <v>61</v>
      </c>
      <c r="G474" s="144">
        <v>15.0</v>
      </c>
      <c r="H474" s="144">
        <v>2.0</v>
      </c>
      <c r="I474" s="144">
        <v>30.0</v>
      </c>
    </row>
    <row r="475" ht="20.25" hidden="1" customHeight="1">
      <c r="A475" s="144">
        <v>2025.0</v>
      </c>
      <c r="B475" s="144">
        <v>12.0</v>
      </c>
      <c r="C475" s="144" t="s">
        <v>268</v>
      </c>
      <c r="D475" s="144" t="s">
        <v>269</v>
      </c>
      <c r="E475" s="144" t="s">
        <v>28</v>
      </c>
      <c r="F475" s="144" t="s">
        <v>61</v>
      </c>
      <c r="G475" s="144">
        <v>15.0</v>
      </c>
      <c r="H475" s="144">
        <v>2.0</v>
      </c>
      <c r="I475" s="144">
        <v>30.0</v>
      </c>
    </row>
    <row r="476" ht="20.25" hidden="1" customHeight="1">
      <c r="A476" s="144">
        <v>2025.0</v>
      </c>
      <c r="B476" s="144">
        <v>10.0</v>
      </c>
      <c r="C476" s="144" t="s">
        <v>270</v>
      </c>
      <c r="D476" s="144" t="s">
        <v>271</v>
      </c>
      <c r="E476" s="144" t="s">
        <v>28</v>
      </c>
      <c r="F476" s="144" t="s">
        <v>61</v>
      </c>
      <c r="G476" s="144">
        <v>22.0</v>
      </c>
      <c r="H476" s="144">
        <v>3.1</v>
      </c>
      <c r="I476" s="144">
        <v>68.2</v>
      </c>
    </row>
    <row r="477" ht="20.25" hidden="1" customHeight="1">
      <c r="A477" s="144">
        <v>2025.0</v>
      </c>
      <c r="B477" s="144">
        <v>11.0</v>
      </c>
      <c r="C477" s="144" t="s">
        <v>270</v>
      </c>
      <c r="D477" s="144" t="s">
        <v>271</v>
      </c>
      <c r="E477" s="144" t="s">
        <v>28</v>
      </c>
      <c r="F477" s="144" t="s">
        <v>61</v>
      </c>
      <c r="G477" s="144">
        <v>14.0</v>
      </c>
      <c r="H477" s="144">
        <v>3.1</v>
      </c>
      <c r="I477" s="144">
        <v>43.4</v>
      </c>
    </row>
    <row r="478" ht="20.25" hidden="1" customHeight="1">
      <c r="A478" s="144">
        <v>2025.0</v>
      </c>
      <c r="B478" s="144">
        <v>12.0</v>
      </c>
      <c r="C478" s="144" t="s">
        <v>270</v>
      </c>
      <c r="D478" s="144" t="s">
        <v>271</v>
      </c>
      <c r="E478" s="144" t="s">
        <v>28</v>
      </c>
      <c r="F478" s="144" t="s">
        <v>61</v>
      </c>
      <c r="G478" s="144">
        <v>12.0</v>
      </c>
      <c r="H478" s="144">
        <v>3.1</v>
      </c>
      <c r="I478" s="144">
        <v>37.2</v>
      </c>
    </row>
    <row r="479" ht="20.25" hidden="1" customHeight="1">
      <c r="A479" s="144">
        <v>2025.0</v>
      </c>
      <c r="B479" s="144">
        <v>10.0</v>
      </c>
      <c r="C479" s="144" t="s">
        <v>496</v>
      </c>
      <c r="D479" s="144" t="s">
        <v>48</v>
      </c>
      <c r="E479" s="144" t="s">
        <v>28</v>
      </c>
      <c r="F479" s="144" t="s">
        <v>61</v>
      </c>
      <c r="G479" s="144">
        <v>19.0</v>
      </c>
      <c r="H479" s="144">
        <v>10.0</v>
      </c>
      <c r="I479" s="144">
        <v>190.0</v>
      </c>
    </row>
    <row r="480" ht="20.25" hidden="1" customHeight="1">
      <c r="A480" s="144">
        <v>2025.0</v>
      </c>
      <c r="B480" s="144">
        <v>11.0</v>
      </c>
      <c r="C480" s="144" t="s">
        <v>496</v>
      </c>
      <c r="D480" s="144" t="s">
        <v>48</v>
      </c>
      <c r="E480" s="144" t="s">
        <v>28</v>
      </c>
      <c r="F480" s="144" t="s">
        <v>61</v>
      </c>
      <c r="G480" s="144">
        <v>18.0</v>
      </c>
      <c r="H480" s="144">
        <v>10.0</v>
      </c>
      <c r="I480" s="144">
        <v>180.0</v>
      </c>
    </row>
    <row r="481" ht="20.25" hidden="1" customHeight="1">
      <c r="A481" s="144">
        <v>2025.0</v>
      </c>
      <c r="B481" s="144">
        <v>12.0</v>
      </c>
      <c r="C481" s="144" t="s">
        <v>496</v>
      </c>
      <c r="D481" s="144" t="s">
        <v>48</v>
      </c>
      <c r="E481" s="144" t="s">
        <v>28</v>
      </c>
      <c r="F481" s="144" t="s">
        <v>61</v>
      </c>
      <c r="G481" s="144">
        <v>17.0</v>
      </c>
      <c r="H481" s="144">
        <v>10.0</v>
      </c>
      <c r="I481" s="144">
        <v>170.0</v>
      </c>
    </row>
    <row r="482" ht="20.25" hidden="1" customHeight="1">
      <c r="A482" s="144">
        <v>2025.0</v>
      </c>
      <c r="B482" s="144">
        <v>12.0</v>
      </c>
      <c r="C482" s="144" t="s">
        <v>497</v>
      </c>
      <c r="D482" s="144" t="s">
        <v>24</v>
      </c>
      <c r="E482" s="144" t="s">
        <v>48</v>
      </c>
      <c r="F482" s="144" t="s">
        <v>61</v>
      </c>
      <c r="G482" s="144">
        <v>10.0</v>
      </c>
      <c r="H482" s="144">
        <v>26.9</v>
      </c>
      <c r="I482" s="144">
        <v>269.0</v>
      </c>
    </row>
    <row r="483" ht="20.25" hidden="1" customHeight="1">
      <c r="A483" s="144">
        <v>2025.0</v>
      </c>
      <c r="B483" s="144">
        <v>12.0</v>
      </c>
      <c r="C483" s="144" t="s">
        <v>497</v>
      </c>
      <c r="D483" s="144" t="s">
        <v>181</v>
      </c>
      <c r="E483" s="144" t="s">
        <v>48</v>
      </c>
      <c r="F483" s="144" t="s">
        <v>61</v>
      </c>
      <c r="G483" s="144">
        <v>6.0</v>
      </c>
      <c r="H483" s="144">
        <v>26.9</v>
      </c>
      <c r="I483" s="144">
        <f>G483*H483</f>
        <v>161.4</v>
      </c>
    </row>
    <row r="484" ht="20.25" hidden="1" customHeight="1">
      <c r="A484" s="144">
        <v>2025.0</v>
      </c>
      <c r="B484" s="144">
        <v>10.0</v>
      </c>
      <c r="C484" s="144" t="s">
        <v>272</v>
      </c>
      <c r="D484" s="144" t="s">
        <v>273</v>
      </c>
      <c r="E484" s="144" t="s">
        <v>23</v>
      </c>
      <c r="F484" s="144" t="s">
        <v>61</v>
      </c>
      <c r="G484" s="144">
        <v>9.5</v>
      </c>
      <c r="H484" s="144">
        <v>37.5</v>
      </c>
      <c r="I484" s="144">
        <v>356.25</v>
      </c>
    </row>
    <row r="485" ht="20.25" hidden="1" customHeight="1">
      <c r="A485" s="144">
        <v>2025.0</v>
      </c>
      <c r="B485" s="144">
        <v>10.0</v>
      </c>
      <c r="C485" s="144" t="s">
        <v>272</v>
      </c>
      <c r="D485" s="144" t="s">
        <v>273</v>
      </c>
      <c r="E485" s="144" t="s">
        <v>23</v>
      </c>
      <c r="F485" s="144" t="s">
        <v>61</v>
      </c>
      <c r="G485" s="144">
        <v>13.0</v>
      </c>
      <c r="H485" s="144">
        <v>37.5</v>
      </c>
      <c r="I485" s="144">
        <v>487.5</v>
      </c>
    </row>
    <row r="486" ht="20.25" hidden="1" customHeight="1">
      <c r="A486" s="144">
        <v>2025.0</v>
      </c>
      <c r="B486" s="144">
        <v>11.0</v>
      </c>
      <c r="C486" s="144" t="s">
        <v>272</v>
      </c>
      <c r="D486" s="144" t="s">
        <v>273</v>
      </c>
      <c r="E486" s="144" t="s">
        <v>23</v>
      </c>
      <c r="F486" s="144" t="s">
        <v>61</v>
      </c>
      <c r="G486" s="144">
        <v>18.0</v>
      </c>
      <c r="H486" s="144">
        <v>37.5</v>
      </c>
      <c r="I486" s="144">
        <v>675.0</v>
      </c>
    </row>
    <row r="487" ht="20.25" hidden="1" customHeight="1">
      <c r="A487" s="144">
        <v>2025.0</v>
      </c>
      <c r="B487" s="144">
        <v>12.0</v>
      </c>
      <c r="C487" s="144" t="s">
        <v>272</v>
      </c>
      <c r="D487" s="144" t="s">
        <v>273</v>
      </c>
      <c r="E487" s="144" t="s">
        <v>23</v>
      </c>
      <c r="F487" s="144" t="s">
        <v>61</v>
      </c>
      <c r="G487" s="144">
        <v>21.0</v>
      </c>
      <c r="H487" s="144">
        <v>37.5</v>
      </c>
      <c r="I487" s="144">
        <v>787.5</v>
      </c>
    </row>
    <row r="488" ht="20.25" hidden="1" customHeight="1">
      <c r="A488" s="144">
        <v>2025.0</v>
      </c>
      <c r="B488" s="144">
        <v>10.0</v>
      </c>
      <c r="C488" s="144" t="s">
        <v>498</v>
      </c>
      <c r="D488" s="144" t="s">
        <v>275</v>
      </c>
      <c r="E488" s="144" t="s">
        <v>28</v>
      </c>
      <c r="F488" s="144" t="s">
        <v>61</v>
      </c>
      <c r="G488" s="144">
        <v>18.5</v>
      </c>
      <c r="H488" s="144">
        <v>7.5</v>
      </c>
      <c r="I488" s="144">
        <v>138.75</v>
      </c>
    </row>
    <row r="489" ht="20.25" hidden="1" customHeight="1">
      <c r="A489" s="144">
        <v>2025.0</v>
      </c>
      <c r="B489" s="144">
        <v>11.0</v>
      </c>
      <c r="C489" s="144" t="s">
        <v>498</v>
      </c>
      <c r="D489" s="144" t="s">
        <v>275</v>
      </c>
      <c r="E489" s="144" t="s">
        <v>28</v>
      </c>
      <c r="F489" s="144" t="s">
        <v>61</v>
      </c>
      <c r="G489" s="144">
        <v>17.0</v>
      </c>
      <c r="H489" s="144">
        <v>7.5</v>
      </c>
      <c r="I489" s="144">
        <v>127.5</v>
      </c>
    </row>
    <row r="490" ht="20.25" hidden="1" customHeight="1">
      <c r="A490" s="144">
        <v>2025.0</v>
      </c>
      <c r="B490" s="144">
        <v>12.0</v>
      </c>
      <c r="C490" s="144" t="s">
        <v>498</v>
      </c>
      <c r="D490" s="144" t="s">
        <v>275</v>
      </c>
      <c r="E490" s="144" t="s">
        <v>28</v>
      </c>
      <c r="F490" s="144" t="s">
        <v>61</v>
      </c>
      <c r="G490" s="144">
        <v>14.0</v>
      </c>
      <c r="H490" s="144">
        <v>7.5</v>
      </c>
      <c r="I490" s="144">
        <v>105.0</v>
      </c>
    </row>
    <row r="491" ht="20.25" hidden="1" customHeight="1">
      <c r="A491" s="144">
        <v>2025.0</v>
      </c>
      <c r="B491" s="144">
        <v>10.0</v>
      </c>
      <c r="C491" s="144" t="s">
        <v>277</v>
      </c>
      <c r="D491" s="144" t="s">
        <v>278</v>
      </c>
      <c r="E491" s="144" t="s">
        <v>26</v>
      </c>
      <c r="F491" s="144" t="s">
        <v>61</v>
      </c>
      <c r="G491" s="144">
        <v>20.0</v>
      </c>
      <c r="H491" s="144">
        <v>13.1</v>
      </c>
      <c r="I491" s="144">
        <v>262.0</v>
      </c>
    </row>
    <row r="492" ht="20.25" hidden="1" customHeight="1">
      <c r="A492" s="144">
        <v>2025.0</v>
      </c>
      <c r="B492" s="144">
        <v>10.0</v>
      </c>
      <c r="C492" s="144" t="s">
        <v>277</v>
      </c>
      <c r="D492" s="144" t="s">
        <v>278</v>
      </c>
      <c r="E492" s="144" t="s">
        <v>28</v>
      </c>
      <c r="F492" s="144" t="s">
        <v>61</v>
      </c>
      <c r="G492" s="144">
        <v>20.0</v>
      </c>
      <c r="H492" s="144">
        <v>5.0</v>
      </c>
      <c r="I492" s="144">
        <v>100.0</v>
      </c>
    </row>
    <row r="493" ht="20.25" hidden="1" customHeight="1">
      <c r="A493" s="144">
        <v>2025.0</v>
      </c>
      <c r="B493" s="144">
        <v>11.0</v>
      </c>
      <c r="C493" s="144" t="s">
        <v>277</v>
      </c>
      <c r="D493" s="144" t="s">
        <v>278</v>
      </c>
      <c r="E493" s="144" t="s">
        <v>26</v>
      </c>
      <c r="F493" s="144" t="s">
        <v>61</v>
      </c>
      <c r="G493" s="144">
        <v>18.0</v>
      </c>
      <c r="H493" s="144">
        <v>13.1</v>
      </c>
      <c r="I493" s="144">
        <v>235.8</v>
      </c>
    </row>
    <row r="494" ht="20.25" hidden="1" customHeight="1">
      <c r="A494" s="144">
        <v>2025.0</v>
      </c>
      <c r="B494" s="144">
        <v>11.0</v>
      </c>
      <c r="C494" s="144" t="s">
        <v>277</v>
      </c>
      <c r="D494" s="144" t="s">
        <v>278</v>
      </c>
      <c r="E494" s="144" t="s">
        <v>28</v>
      </c>
      <c r="F494" s="144" t="s">
        <v>61</v>
      </c>
      <c r="G494" s="144">
        <v>18.0</v>
      </c>
      <c r="H494" s="144">
        <v>5.0</v>
      </c>
      <c r="I494" s="144">
        <v>90.0</v>
      </c>
    </row>
    <row r="495" ht="20.25" hidden="1" customHeight="1">
      <c r="A495" s="144">
        <v>2025.0</v>
      </c>
      <c r="B495" s="144">
        <v>12.0</v>
      </c>
      <c r="C495" s="144" t="s">
        <v>277</v>
      </c>
      <c r="D495" s="144" t="s">
        <v>278</v>
      </c>
      <c r="E495" s="144" t="s">
        <v>26</v>
      </c>
      <c r="F495" s="144" t="s">
        <v>61</v>
      </c>
      <c r="G495" s="144">
        <v>15.0</v>
      </c>
      <c r="H495" s="144">
        <v>13.1</v>
      </c>
      <c r="I495" s="144">
        <v>196.5</v>
      </c>
    </row>
    <row r="496" ht="20.25" hidden="1" customHeight="1">
      <c r="A496" s="144">
        <v>2025.0</v>
      </c>
      <c r="B496" s="144">
        <v>12.0</v>
      </c>
      <c r="C496" s="144" t="s">
        <v>277</v>
      </c>
      <c r="D496" s="144" t="s">
        <v>278</v>
      </c>
      <c r="E496" s="144" t="s">
        <v>28</v>
      </c>
      <c r="F496" s="144" t="s">
        <v>61</v>
      </c>
      <c r="G496" s="144">
        <v>15.0</v>
      </c>
      <c r="H496" s="144">
        <v>5.0</v>
      </c>
      <c r="I496" s="144">
        <v>75.0</v>
      </c>
    </row>
    <row r="497" ht="20.25" hidden="1" customHeight="1">
      <c r="A497" s="144">
        <v>2025.0</v>
      </c>
      <c r="B497" s="144">
        <v>11.0</v>
      </c>
      <c r="C497" s="144" t="s">
        <v>266</v>
      </c>
      <c r="D497" s="144" t="s">
        <v>267</v>
      </c>
      <c r="E497" s="144" t="s">
        <v>15</v>
      </c>
      <c r="F497" s="144" t="s">
        <v>61</v>
      </c>
      <c r="G497" s="144">
        <v>19.0</v>
      </c>
      <c r="H497" s="144">
        <v>14.5</v>
      </c>
      <c r="I497" s="144">
        <v>275.5</v>
      </c>
    </row>
    <row r="498" ht="20.25" hidden="1" customHeight="1">
      <c r="A498" s="144">
        <v>2025.0</v>
      </c>
      <c r="B498" s="144">
        <v>12.0</v>
      </c>
      <c r="C498" s="144" t="s">
        <v>266</v>
      </c>
      <c r="D498" s="144" t="s">
        <v>267</v>
      </c>
      <c r="E498" s="144" t="s">
        <v>15</v>
      </c>
      <c r="F498" s="144" t="s">
        <v>61</v>
      </c>
      <c r="G498" s="144">
        <v>12.0</v>
      </c>
      <c r="H498" s="144">
        <v>14.5</v>
      </c>
      <c r="I498" s="144">
        <v>174.0</v>
      </c>
    </row>
    <row r="499" ht="20.25" customHeight="1">
      <c r="A499" s="144"/>
      <c r="B499" s="144"/>
      <c r="C499" s="144"/>
      <c r="D499" s="144"/>
      <c r="E499" s="144"/>
      <c r="F499" s="144"/>
      <c r="G499" s="144"/>
      <c r="H499" s="144"/>
      <c r="I499" s="144"/>
    </row>
    <row r="500" ht="20.25" customHeight="1">
      <c r="A500" s="144"/>
      <c r="B500" s="144"/>
      <c r="C500" s="144"/>
      <c r="D500" s="144"/>
      <c r="E500" s="144"/>
      <c r="F500" s="144"/>
      <c r="G500" s="144"/>
      <c r="H500" s="144"/>
      <c r="I500" s="144"/>
    </row>
    <row r="501" ht="20.25" customHeight="1">
      <c r="A501" s="144"/>
      <c r="B501" s="144"/>
      <c r="C501" s="144"/>
      <c r="D501" s="144"/>
      <c r="E501" s="144"/>
      <c r="F501" s="144"/>
      <c r="G501" s="144"/>
      <c r="H501" s="144"/>
      <c r="I501" s="144"/>
    </row>
    <row r="502" ht="20.25" customHeight="1">
      <c r="A502" s="144"/>
      <c r="B502" s="144"/>
      <c r="C502" s="144"/>
      <c r="D502" s="144"/>
      <c r="E502" s="144"/>
      <c r="F502" s="144"/>
      <c r="G502" s="144"/>
      <c r="H502" s="144"/>
      <c r="I502" s="144"/>
    </row>
    <row r="503" ht="20.25" customHeight="1">
      <c r="A503" s="144"/>
      <c r="B503" s="144"/>
      <c r="C503" s="144"/>
      <c r="D503" s="144"/>
      <c r="E503" s="144"/>
      <c r="F503" s="144"/>
      <c r="G503" s="144"/>
      <c r="H503" s="144"/>
      <c r="I503" s="144"/>
    </row>
    <row r="504" ht="20.25" customHeight="1">
      <c r="A504" s="144"/>
      <c r="B504" s="144"/>
      <c r="C504" s="144"/>
      <c r="D504" s="144"/>
      <c r="E504" s="144"/>
      <c r="F504" s="144"/>
      <c r="G504" s="144"/>
      <c r="H504" s="144"/>
      <c r="I504" s="144"/>
    </row>
    <row r="505" ht="20.25" customHeight="1">
      <c r="A505" s="144"/>
      <c r="B505" s="144"/>
      <c r="C505" s="144"/>
      <c r="D505" s="144"/>
      <c r="E505" s="144"/>
      <c r="F505" s="144"/>
      <c r="G505" s="144"/>
      <c r="H505" s="144"/>
      <c r="I505" s="144"/>
    </row>
    <row r="506" ht="20.25" customHeight="1">
      <c r="A506" s="144"/>
      <c r="B506" s="144"/>
      <c r="C506" s="144"/>
      <c r="D506" s="144"/>
      <c r="E506" s="144"/>
      <c r="F506" s="144"/>
      <c r="G506" s="144"/>
      <c r="H506" s="144"/>
      <c r="I506" s="144"/>
    </row>
    <row r="507" ht="20.25" customHeight="1">
      <c r="A507" s="144"/>
      <c r="B507" s="144"/>
      <c r="C507" s="144"/>
      <c r="D507" s="144"/>
      <c r="E507" s="144"/>
      <c r="F507" s="144"/>
      <c r="G507" s="144"/>
      <c r="H507" s="144"/>
      <c r="I507" s="144"/>
    </row>
    <row r="508" ht="20.25" customHeight="1">
      <c r="A508" s="144"/>
      <c r="B508" s="144"/>
      <c r="C508" s="144"/>
      <c r="D508" s="144"/>
      <c r="E508" s="144"/>
      <c r="F508" s="144"/>
      <c r="G508" s="144"/>
      <c r="H508" s="144"/>
      <c r="I508" s="144"/>
    </row>
    <row r="509" ht="20.25" customHeight="1">
      <c r="A509" s="144"/>
      <c r="B509" s="144"/>
      <c r="C509" s="144"/>
      <c r="D509" s="144"/>
      <c r="E509" s="144"/>
      <c r="F509" s="144"/>
      <c r="G509" s="144"/>
      <c r="H509" s="144"/>
      <c r="I509" s="144"/>
    </row>
    <row r="510" ht="20.25" customHeight="1">
      <c r="A510" s="144"/>
      <c r="B510" s="144"/>
      <c r="C510" s="144"/>
      <c r="D510" s="144"/>
      <c r="E510" s="144"/>
      <c r="F510" s="144"/>
      <c r="G510" s="144"/>
      <c r="H510" s="144"/>
      <c r="I510" s="144"/>
    </row>
    <row r="511" ht="20.25" customHeight="1">
      <c r="A511" s="144"/>
      <c r="B511" s="144"/>
      <c r="C511" s="144"/>
      <c r="D511" s="144"/>
      <c r="E511" s="144"/>
      <c r="F511" s="144"/>
      <c r="G511" s="144"/>
      <c r="H511" s="144"/>
      <c r="I511" s="144"/>
    </row>
    <row r="512" ht="20.25" customHeight="1">
      <c r="A512" s="144"/>
      <c r="B512" s="144"/>
      <c r="C512" s="144"/>
      <c r="D512" s="144"/>
      <c r="E512" s="144"/>
      <c r="F512" s="144"/>
      <c r="G512" s="144"/>
      <c r="H512" s="144"/>
      <c r="I512" s="144"/>
    </row>
    <row r="513" ht="20.25" customHeight="1">
      <c r="A513" s="144"/>
      <c r="B513" s="144"/>
      <c r="C513" s="144"/>
      <c r="D513" s="144"/>
      <c r="E513" s="144"/>
      <c r="F513" s="144"/>
      <c r="G513" s="144"/>
      <c r="H513" s="144"/>
      <c r="I513" s="144"/>
    </row>
    <row r="514" ht="20.25" customHeight="1">
      <c r="A514" s="144"/>
      <c r="B514" s="144"/>
      <c r="C514" s="144"/>
      <c r="D514" s="144"/>
      <c r="E514" s="144"/>
      <c r="F514" s="144"/>
      <c r="G514" s="144"/>
      <c r="H514" s="144"/>
      <c r="I514" s="144"/>
    </row>
    <row r="515" ht="20.25" customHeight="1">
      <c r="A515" s="144"/>
      <c r="B515" s="144"/>
      <c r="C515" s="144"/>
      <c r="D515" s="144"/>
      <c r="E515" s="144"/>
      <c r="F515" s="144"/>
      <c r="G515" s="144"/>
      <c r="H515" s="144"/>
      <c r="I515" s="144"/>
    </row>
    <row r="516" ht="20.25" customHeight="1">
      <c r="A516" s="144"/>
      <c r="B516" s="144"/>
      <c r="C516" s="144"/>
      <c r="D516" s="144"/>
      <c r="E516" s="144"/>
      <c r="F516" s="144"/>
      <c r="G516" s="144"/>
      <c r="H516" s="144"/>
      <c r="I516" s="144"/>
    </row>
    <row r="517" ht="20.25" customHeight="1">
      <c r="A517" s="144"/>
      <c r="B517" s="144"/>
      <c r="C517" s="144"/>
      <c r="D517" s="144"/>
      <c r="E517" s="144"/>
      <c r="F517" s="144"/>
      <c r="G517" s="144"/>
      <c r="H517" s="144"/>
      <c r="I517" s="144"/>
    </row>
    <row r="518" ht="20.25" customHeight="1">
      <c r="A518" s="144"/>
      <c r="B518" s="144"/>
      <c r="C518" s="144"/>
      <c r="D518" s="144"/>
      <c r="E518" s="144"/>
      <c r="F518" s="144"/>
      <c r="G518" s="144"/>
      <c r="H518" s="144"/>
      <c r="I518" s="144"/>
    </row>
    <row r="519" ht="20.25" customHeight="1">
      <c r="A519" s="144"/>
      <c r="B519" s="144"/>
      <c r="C519" s="144"/>
      <c r="D519" s="144"/>
      <c r="E519" s="144"/>
      <c r="F519" s="144"/>
      <c r="G519" s="144"/>
      <c r="H519" s="144"/>
      <c r="I519" s="144"/>
    </row>
    <row r="520" ht="20.25" customHeight="1">
      <c r="A520" s="144"/>
      <c r="B520" s="144"/>
      <c r="C520" s="144"/>
      <c r="D520" s="144"/>
      <c r="E520" s="144"/>
      <c r="F520" s="144"/>
      <c r="G520" s="144"/>
      <c r="H520" s="144"/>
      <c r="I520" s="144"/>
    </row>
    <row r="521" ht="20.25" customHeight="1">
      <c r="A521" s="144"/>
      <c r="B521" s="144"/>
      <c r="C521" s="144"/>
      <c r="D521" s="144"/>
      <c r="E521" s="144"/>
      <c r="F521" s="144"/>
      <c r="G521" s="144"/>
      <c r="H521" s="144"/>
      <c r="I521" s="144"/>
    </row>
    <row r="522" ht="20.25" customHeight="1">
      <c r="A522" s="144"/>
      <c r="B522" s="144"/>
      <c r="C522" s="144"/>
      <c r="D522" s="144"/>
      <c r="E522" s="144"/>
      <c r="F522" s="144"/>
      <c r="G522" s="144"/>
      <c r="H522" s="144"/>
      <c r="I522" s="144"/>
    </row>
    <row r="523" ht="20.25" customHeight="1">
      <c r="A523" s="144"/>
      <c r="B523" s="144"/>
      <c r="C523" s="144"/>
      <c r="D523" s="144"/>
      <c r="E523" s="144"/>
      <c r="F523" s="144"/>
      <c r="G523" s="144"/>
      <c r="H523" s="144"/>
      <c r="I523" s="144"/>
    </row>
    <row r="524" ht="20.25" customHeight="1">
      <c r="A524" s="144"/>
      <c r="B524" s="144"/>
      <c r="C524" s="144"/>
      <c r="D524" s="144"/>
      <c r="E524" s="144"/>
      <c r="F524" s="144"/>
      <c r="G524" s="144"/>
      <c r="H524" s="144"/>
      <c r="I524" s="144"/>
    </row>
    <row r="525" ht="20.25" customHeight="1">
      <c r="A525" s="144"/>
      <c r="B525" s="144"/>
      <c r="C525" s="144"/>
      <c r="D525" s="144"/>
      <c r="E525" s="144"/>
      <c r="F525" s="144"/>
      <c r="G525" s="144"/>
      <c r="H525" s="144"/>
      <c r="I525" s="144"/>
    </row>
    <row r="526" ht="20.25" customHeight="1">
      <c r="A526" s="144"/>
      <c r="B526" s="144"/>
      <c r="C526" s="144"/>
      <c r="D526" s="144"/>
      <c r="E526" s="144"/>
      <c r="F526" s="144"/>
      <c r="G526" s="144"/>
      <c r="H526" s="144"/>
      <c r="I526" s="144"/>
    </row>
    <row r="527" ht="20.25" customHeight="1">
      <c r="A527" s="144"/>
      <c r="B527" s="144"/>
      <c r="C527" s="144"/>
      <c r="D527" s="144"/>
      <c r="E527" s="144"/>
      <c r="F527" s="144"/>
      <c r="G527" s="144"/>
      <c r="H527" s="144"/>
      <c r="I527" s="144"/>
    </row>
    <row r="528" ht="20.25" customHeight="1">
      <c r="A528" s="144"/>
      <c r="B528" s="144"/>
      <c r="C528" s="144"/>
      <c r="D528" s="144"/>
      <c r="E528" s="144"/>
      <c r="F528" s="144"/>
      <c r="G528" s="144"/>
      <c r="H528" s="144"/>
      <c r="I528" s="144"/>
    </row>
    <row r="529" ht="20.25" customHeight="1">
      <c r="A529" s="144"/>
      <c r="B529" s="144"/>
      <c r="C529" s="144"/>
      <c r="D529" s="144"/>
      <c r="E529" s="144"/>
      <c r="F529" s="144"/>
      <c r="G529" s="144"/>
      <c r="H529" s="144"/>
      <c r="I529" s="144"/>
    </row>
    <row r="530" ht="20.25" customHeight="1">
      <c r="A530" s="144"/>
      <c r="B530" s="144"/>
      <c r="C530" s="144"/>
      <c r="D530" s="144"/>
      <c r="E530" s="144"/>
      <c r="F530" s="144"/>
      <c r="G530" s="144"/>
      <c r="H530" s="144"/>
      <c r="I530" s="144"/>
    </row>
    <row r="531" ht="20.25" customHeight="1">
      <c r="A531" s="144"/>
      <c r="B531" s="144"/>
      <c r="C531" s="144"/>
      <c r="D531" s="144"/>
      <c r="E531" s="144"/>
      <c r="F531" s="144"/>
      <c r="G531" s="144"/>
      <c r="H531" s="144"/>
      <c r="I531" s="144"/>
    </row>
    <row r="532" ht="20.25" customHeight="1">
      <c r="A532" s="144"/>
      <c r="B532" s="144"/>
      <c r="C532" s="144"/>
      <c r="D532" s="144"/>
      <c r="E532" s="144"/>
      <c r="F532" s="144"/>
      <c r="G532" s="144"/>
      <c r="H532" s="144"/>
      <c r="I532" s="144"/>
    </row>
    <row r="533" ht="20.25" customHeight="1">
      <c r="A533" s="144"/>
      <c r="B533" s="144"/>
      <c r="C533" s="144"/>
      <c r="D533" s="144"/>
      <c r="E533" s="144"/>
      <c r="F533" s="144"/>
      <c r="G533" s="144"/>
      <c r="H533" s="144"/>
      <c r="I533" s="144"/>
    </row>
    <row r="534" ht="20.25" customHeight="1">
      <c r="A534" s="144"/>
      <c r="B534" s="144"/>
      <c r="C534" s="144"/>
      <c r="D534" s="144"/>
      <c r="E534" s="144"/>
      <c r="F534" s="144"/>
      <c r="G534" s="144"/>
      <c r="H534" s="144"/>
      <c r="I534" s="144"/>
    </row>
    <row r="535" ht="20.25" customHeight="1">
      <c r="A535" s="144"/>
      <c r="B535" s="144"/>
      <c r="C535" s="144"/>
      <c r="D535" s="144"/>
      <c r="E535" s="144"/>
      <c r="F535" s="144"/>
      <c r="G535" s="144"/>
      <c r="H535" s="144"/>
      <c r="I535" s="144"/>
    </row>
    <row r="536" ht="20.25" customHeight="1">
      <c r="A536" s="144"/>
      <c r="B536" s="144"/>
      <c r="C536" s="144"/>
      <c r="D536" s="144"/>
      <c r="E536" s="144"/>
      <c r="F536" s="144"/>
      <c r="G536" s="144"/>
      <c r="H536" s="144"/>
      <c r="I536" s="144"/>
    </row>
    <row r="537" ht="20.25" customHeight="1">
      <c r="A537" s="144"/>
      <c r="B537" s="144"/>
      <c r="C537" s="144"/>
      <c r="D537" s="144"/>
      <c r="E537" s="144"/>
      <c r="F537" s="144"/>
      <c r="G537" s="144"/>
      <c r="H537" s="144"/>
      <c r="I537" s="144"/>
    </row>
  </sheetData>
  <autoFilter ref="$A$34:$I$537">
    <filterColumn colId="5">
      <filters blank="1">
        <filter val="Commerciale Freelance"/>
      </filters>
    </filterColumn>
  </autoFilter>
  <customSheetViews>
    <customSheetView guid="{8D341382-F33A-42BE-92B5-CA8C873B6B9A}" filter="1" showAutoFilter="1">
      <autoFilter ref="$A$34:$I$537">
        <filterColumn colId="4">
          <filters>
            <filter val="AMO"/>
            <filter val="AHJ"/>
            <filter val="SAT"/>
            <filter val="SNA"/>
            <filter val="VRI"/>
            <filter val="MMO"/>
            <filter val="JHU"/>
            <filter val="ELB"/>
            <filter val="MBO"/>
            <filter val="NVB"/>
            <filter val="GME"/>
          </filters>
        </filterColumn>
      </autoFilter>
    </customSheetView>
    <customSheetView guid="{7E2DC08E-42AC-43D8-8C70-258D8904AA44}" filter="1" showAutoFilter="1">
      <autoFilter ref="$A$34:$I$537"/>
    </customSheetView>
    <customSheetView guid="{337816CC-850F-4D8A-9A21-5D6FA7C66D79}" filter="1" showAutoFilter="1">
      <autoFilter ref="$A$3:$D$31"/>
    </customSheetView>
  </customSheetView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8.0"/>
  </cols>
  <sheetData>
    <row r="1">
      <c r="A1" s="44" t="s">
        <v>289</v>
      </c>
      <c r="B1" s="44"/>
      <c r="C1" s="44"/>
    </row>
    <row r="2">
      <c r="A2" s="44" t="s">
        <v>290</v>
      </c>
      <c r="B2" s="44"/>
      <c r="C2" s="44"/>
    </row>
    <row r="3">
      <c r="A3" s="44" t="s">
        <v>291</v>
      </c>
      <c r="B3" s="44"/>
      <c r="C3" s="44"/>
    </row>
    <row r="4">
      <c r="A4" s="44" t="s">
        <v>292</v>
      </c>
      <c r="B4" s="44"/>
      <c r="C4" s="44"/>
    </row>
    <row r="5">
      <c r="A5" s="44"/>
      <c r="B5" s="44"/>
      <c r="C5" s="44"/>
    </row>
    <row r="6">
      <c r="A6" s="20" t="s">
        <v>293</v>
      </c>
      <c r="B6" s="20" t="s">
        <v>294</v>
      </c>
      <c r="C6" s="20" t="s">
        <v>295</v>
      </c>
      <c r="D6" s="64"/>
    </row>
    <row r="7">
      <c r="A7" s="20" t="s">
        <v>296</v>
      </c>
      <c r="B7" s="20">
        <v>9.0</v>
      </c>
      <c r="C7" s="20">
        <v>200.0</v>
      </c>
      <c r="D7" s="64">
        <f t="shared" ref="D7:D8" si="1">B7*C7</f>
        <v>1800</v>
      </c>
    </row>
    <row r="8">
      <c r="A8" s="20" t="s">
        <v>297</v>
      </c>
      <c r="B8" s="20">
        <v>23.0</v>
      </c>
      <c r="C8" s="20">
        <v>23.33</v>
      </c>
      <c r="D8" s="64">
        <f t="shared" si="1"/>
        <v>536.59</v>
      </c>
    </row>
    <row r="9">
      <c r="D9" s="77">
        <f>SUM(D7:D8)</f>
        <v>2336.59</v>
      </c>
    </row>
    <row r="11">
      <c r="A11" s="44" t="s">
        <v>298</v>
      </c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 outlineLevelCol="1"/>
  <cols>
    <col collapsed="1" customWidth="1" min="1" max="1" width="19.13"/>
    <col min="2" max="9" width="12.63" outlineLevel="1"/>
    <col customWidth="1" hidden="1" min="13" max="13" width="19.25"/>
    <col customWidth="1" hidden="1" min="14" max="15" width="25.0"/>
    <col customWidth="1" hidden="1" min="16" max="16" width="18.63"/>
    <col customWidth="1" hidden="1" min="17" max="17" width="19.13"/>
  </cols>
  <sheetData>
    <row r="1">
      <c r="A1" s="1" t="s">
        <v>0</v>
      </c>
      <c r="M1" s="78" t="s">
        <v>299</v>
      </c>
      <c r="N1" s="79">
        <v>55.39</v>
      </c>
      <c r="O1" s="78" t="s">
        <v>300</v>
      </c>
      <c r="P1" s="78">
        <v>1.15</v>
      </c>
    </row>
    <row r="2">
      <c r="A2" s="3"/>
      <c r="B2" s="4"/>
      <c r="C2" s="4"/>
      <c r="D2" s="4"/>
      <c r="E2" s="4"/>
      <c r="F2" s="4"/>
      <c r="G2" s="4"/>
      <c r="H2" s="4"/>
      <c r="I2" s="6"/>
      <c r="J2" s="6"/>
      <c r="K2" s="6"/>
      <c r="M2" s="80"/>
    </row>
    <row r="3">
      <c r="A3" s="8" t="s">
        <v>2</v>
      </c>
      <c r="B3" s="4"/>
      <c r="C3" s="4"/>
      <c r="D3" s="4"/>
      <c r="E3" s="4"/>
      <c r="F3" s="4"/>
      <c r="G3" s="4"/>
      <c r="H3" s="4"/>
      <c r="I3" s="6"/>
      <c r="J3" s="6"/>
      <c r="K3" s="6"/>
      <c r="M3" s="80"/>
    </row>
    <row r="4">
      <c r="A4" s="10" t="s">
        <v>3</v>
      </c>
      <c r="B4" s="12" t="s">
        <v>5</v>
      </c>
      <c r="C4" s="14"/>
      <c r="D4" s="12" t="s">
        <v>8</v>
      </c>
      <c r="E4" s="14"/>
      <c r="F4" s="12" t="s">
        <v>9</v>
      </c>
      <c r="G4" s="14"/>
      <c r="H4" s="12" t="s">
        <v>10</v>
      </c>
      <c r="I4" s="14"/>
      <c r="J4" s="12">
        <v>2026.0</v>
      </c>
      <c r="K4" s="81"/>
      <c r="L4" s="81"/>
      <c r="M4" s="14"/>
      <c r="N4" s="82" t="s">
        <v>301</v>
      </c>
    </row>
    <row r="5">
      <c r="A5" s="83"/>
      <c r="B5" s="19" t="s">
        <v>12</v>
      </c>
      <c r="C5" s="84" t="s">
        <v>302</v>
      </c>
      <c r="D5" s="19" t="s">
        <v>12</v>
      </c>
      <c r="E5" s="84" t="s">
        <v>302</v>
      </c>
      <c r="F5" s="19" t="s">
        <v>12</v>
      </c>
      <c r="G5" s="84" t="s">
        <v>302</v>
      </c>
      <c r="H5" s="19" t="s">
        <v>12</v>
      </c>
      <c r="I5" s="84" t="s">
        <v>302</v>
      </c>
      <c r="J5" s="19" t="s">
        <v>303</v>
      </c>
      <c r="K5" s="19" t="s">
        <v>12</v>
      </c>
      <c r="L5" s="84" t="s">
        <v>302</v>
      </c>
      <c r="M5" s="85" t="s">
        <v>304</v>
      </c>
      <c r="N5" s="86" t="s">
        <v>305</v>
      </c>
      <c r="O5" s="87" t="s">
        <v>306</v>
      </c>
      <c r="Q5" s="44" t="s">
        <v>307</v>
      </c>
    </row>
    <row r="6">
      <c r="A6" s="88" t="s">
        <v>13</v>
      </c>
      <c r="B6" s="89" t="str">
        <f>IF(ISNA(VLOOKUP($A6,'Prime Salariés T1 2026'!$A$3:$H$32,6,FALSE)),0,VLOOKUP($A6,'Prime Salariés T1 2026'!$A$3:$H$32,6,FALSE))</f>
        <v/>
      </c>
      <c r="C6" s="89" t="str">
        <f>IF(ISNA(VLOOKUP($A6,'Prime Salariés T1 2026'!$A$3:$H$32,7,FALSE)),0,VLOOKUP($A6,'Prime Salariés T1 2026'!$A$3:$H$32,7,FALSE))</f>
        <v/>
      </c>
      <c r="D6" s="89"/>
      <c r="E6" s="89"/>
      <c r="F6" s="89"/>
      <c r="G6" s="89"/>
      <c r="H6" s="89"/>
      <c r="I6" s="89"/>
      <c r="J6" s="90">
        <f t="shared" ref="J6:J29" si="2">K6+L6</f>
        <v>0</v>
      </c>
      <c r="K6" s="90">
        <f t="shared" ref="K6:L6" si="1">B6+D6+F6+H6</f>
        <v>0</v>
      </c>
      <c r="L6" s="91">
        <f t="shared" si="1"/>
        <v>0</v>
      </c>
      <c r="M6" s="92" t="str">
        <f t="shared" ref="M6:M8" si="4">L6/J6</f>
        <v>#DIV/0!</v>
      </c>
      <c r="N6" s="44">
        <f t="shared" ref="N6:N8" si="5">IF(L6&lt;500,0,IF(L6&lt;10000,INT(L6*$P$1/($N$1*0.7)),"formule a compléter"))</f>
        <v>0</v>
      </c>
      <c r="O6" s="93">
        <f t="shared" ref="O6:O8" si="6">L6-N6*(N$1*0.7)/P$1</f>
        <v>0</v>
      </c>
      <c r="Q6" s="93">
        <f t="shared" ref="Q6:Q8" si="7">O6+N6*$N$1/$P$1</f>
        <v>0</v>
      </c>
    </row>
    <row r="7">
      <c r="A7" s="20" t="s">
        <v>110</v>
      </c>
      <c r="B7" s="94">
        <f>IF(ISNA(VLOOKUP($A7,'Prime Salariés T1 2026'!$A$3:$H$32,6,FALSE)),0,VLOOKUP($A7,'Prime Salariés T1 2026'!$A$3:$H$32,6,FALSE))</f>
        <v>104</v>
      </c>
      <c r="C7" s="94" t="str">
        <f>IF(ISNA(VLOOKUP($A7,'Prime Salariés T1 2026'!$A$3:$H$32,7,FALSE)),0,VLOOKUP($A7,'Prime Salariés T1 2026'!$A$3:$H$32,7,FALSE))</f>
        <v/>
      </c>
      <c r="D7" s="94">
        <f>IF(ISNA(VLOOKUP($A7,'Prime Salariés T2 2026'!$A$3:$G$22,6,FALSE)),0,VLOOKUP($A7,'Prime Salariés T2 2026'!$A$3:$G$22,6,FALSE))</f>
        <v>0</v>
      </c>
      <c r="E7" s="94">
        <f>IF(ISNA(VLOOKUP($A7,'Prime Salariés T2 2026'!$A$3:$G$22,7,FALSE)),0,VLOOKUP($A7,'Prime Salariés T2 2026'!$A$3:$G$22,7,FALSE))</f>
        <v>0</v>
      </c>
      <c r="F7" s="94" t="str">
        <f>IF(ISNA(VLOOKUP($A7,'Prime Salariés T3 2026'!$A$4:$I$26,6,FALSE)),0,VLOOKUP($A7,'Prime Salariés T3 2026'!$A$4:$I$26,6,FALSE))</f>
        <v/>
      </c>
      <c r="G7" s="94" t="str">
        <f>IF(ISNA(VLOOKUP($A7,'Prime Salariés T3 2026'!$A$4:$I$26,7,FALSE)),0,VLOOKUP($A7,'Prime Salariés T3 2026'!$A$4:$I$26,7,FALSE))</f>
        <v/>
      </c>
      <c r="H7" s="94">
        <f>IF(ISNA(VLOOKUP($A7,'Prime Salariés T4 2026'!$A$4:$H$28,5,FALSE)),0,VLOOKUP($A7,'Prime Salariés T4 2026'!$A$4:$H$28,5,FALSE))</f>
        <v>0</v>
      </c>
      <c r="I7" s="94" t="str">
        <f>IF(ISNA(VLOOKUP($A7,'Prime Salariés T4 2026'!$A$4:$H$28,7,FALSE)),0,VLOOKUP($A7,'Prime Salariés T4 2026'!$A$4:$H$28,7,FALSE))</f>
        <v/>
      </c>
      <c r="J7" s="90">
        <f t="shared" si="2"/>
        <v>104</v>
      </c>
      <c r="K7" s="90">
        <f t="shared" ref="K7:L7" si="3">B7+D7+F7+H7</f>
        <v>104</v>
      </c>
      <c r="L7" s="91">
        <f t="shared" si="3"/>
        <v>0</v>
      </c>
      <c r="M7" s="92">
        <f t="shared" si="4"/>
        <v>0</v>
      </c>
      <c r="N7" s="44">
        <f t="shared" si="5"/>
        <v>0</v>
      </c>
      <c r="O7" s="93">
        <f t="shared" si="6"/>
        <v>0</v>
      </c>
      <c r="Q7" s="93">
        <f t="shared" si="7"/>
        <v>0</v>
      </c>
    </row>
    <row r="8">
      <c r="A8" s="20" t="s">
        <v>112</v>
      </c>
      <c r="B8" s="94">
        <f>IF(ISNA(VLOOKUP($A8,'Prime Salariés T1 2026'!$A$3:$H$32,6,FALSE)),0,VLOOKUP($A8,'Prime Salariés T1 2026'!$A$3:$H$32,6,FALSE))</f>
        <v>1047</v>
      </c>
      <c r="C8" s="94" t="str">
        <f>IF(ISNA(VLOOKUP($A8,'Prime Salariés T1 2026'!$A$3:$H$32,7,FALSE)),0,VLOOKUP($A8,'Prime Salariés T1 2026'!$A$3:$H$32,7,FALSE))</f>
        <v/>
      </c>
      <c r="D8" s="94">
        <f>IF(ISNA(VLOOKUP($A8,'Prime Salariés T2 2026'!$A$3:$G$22,6,FALSE)),0,VLOOKUP($A8,'Prime Salariés T2 2026'!$A$3:$G$22,6,FALSE))</f>
        <v>1028</v>
      </c>
      <c r="E8" s="94" t="str">
        <f>IF(ISNA(VLOOKUP($A8,'Prime Salariés T2 2026'!$A$3:$G$22,7,FALSE)),0,VLOOKUP($A8,'Prime Salariés T2 2026'!$A$3:$G$22,7,FALSE))</f>
        <v/>
      </c>
      <c r="F8" s="94" t="str">
        <f>IF(ISNA(VLOOKUP($A8,'Prime Salariés T3 2026'!$A$4:$I$26,6,FALSE)),0,VLOOKUP($A8,'Prime Salariés T3 2026'!$A$4:$I$26,6,FALSE))</f>
        <v/>
      </c>
      <c r="G8" s="94" t="str">
        <f>IF(ISNA(VLOOKUP($A8,'Prime Salariés T3 2026'!$A$4:$I$26,7,FALSE)),0,VLOOKUP($A8,'Prime Salariés T3 2026'!$A$4:$I$26,7,FALSE))</f>
        <v/>
      </c>
      <c r="H8" s="94" t="str">
        <f>IF(ISNA(VLOOKUP($A8,'Prime Salariés T4 2026'!$A$4:$H$28,6,FALSE)),0,VLOOKUP($A8,'Prime Salariés T4 2026'!$A$4:$H$28,6,FALSE))</f>
        <v/>
      </c>
      <c r="I8" s="94" t="str">
        <f>IF(ISNA(VLOOKUP($A8,'Prime Salariés T4 2026'!$A$4:$H$28,7,FALSE)),0,VLOOKUP($A8,'Prime Salariés T4 2026'!$A$4:$H$28,7,FALSE))</f>
        <v/>
      </c>
      <c r="J8" s="90">
        <f t="shared" si="2"/>
        <v>2075</v>
      </c>
      <c r="K8" s="90">
        <f t="shared" ref="K8:L8" si="8">B8+D8+F8+H8</f>
        <v>2075</v>
      </c>
      <c r="L8" s="91">
        <f t="shared" si="8"/>
        <v>0</v>
      </c>
      <c r="M8" s="92">
        <f t="shared" si="4"/>
        <v>0</v>
      </c>
      <c r="N8" s="44">
        <f t="shared" si="5"/>
        <v>0</v>
      </c>
      <c r="O8" s="93">
        <f t="shared" si="6"/>
        <v>0</v>
      </c>
      <c r="Q8" s="93">
        <f t="shared" si="7"/>
        <v>0</v>
      </c>
    </row>
    <row r="9">
      <c r="A9" s="20" t="s">
        <v>308</v>
      </c>
      <c r="B9" s="94" t="str">
        <f>IF(ISNA(VLOOKUP($A9,'Prime Salariés T1 2026'!$A$3:$H$32,6,FALSE)),0,VLOOKUP($A9,'Prime Salariés T1 2026'!$A$3:$H$32,6,FALSE))</f>
        <v/>
      </c>
      <c r="C9" s="94">
        <f>IF(ISNA(VLOOKUP($A9,'Prime Salariés T1 2026'!$A$3:$H$32,7,FALSE)),0,VLOOKUP($A9,'Prime Salariés T1 2026'!$A$3:$H$32,7,FALSE))</f>
        <v>5101.23</v>
      </c>
      <c r="D9" s="94" t="str">
        <f>IF(ISNA(VLOOKUP($A9,'Prime Salariés T2 2026'!$A$3:$G$22,6,FALSE)),0,VLOOKUP($A9,'Prime Salariés T2 2026'!$A$3:$G$22,6,FALSE))</f>
        <v/>
      </c>
      <c r="E9" s="94">
        <f>IF(ISNA(VLOOKUP($A9,'Prime Salariés T2 2026'!$A$3:$G$22,7,FALSE)),0,VLOOKUP($A9,'Prime Salariés T2 2026'!$A$3:$G$22,7,FALSE))</f>
        <v>3797</v>
      </c>
      <c r="F9" s="94" t="str">
        <f>IF(ISNA(VLOOKUP($A9,'Prime Salariés T3 2026'!$A$4:$I$26,6,FALSE)),0,VLOOKUP($A9,'Prime Salariés T3 2026'!$A$4:$I$26,6,FALSE))</f>
        <v/>
      </c>
      <c r="G9" s="94" t="str">
        <f>IF(ISNA(VLOOKUP($A9,'Prime Salariés T3 2026'!$A$4:$I$26,7,FALSE)),0,VLOOKUP($A9,'Prime Salariés T3 2026'!$A$4:$I$26,7,FALSE))</f>
        <v/>
      </c>
      <c r="H9" s="94" t="str">
        <f>IF(ISNA(VLOOKUP($A9,'Prime Salariés T4 2026'!$A$4:$H$28,6,FALSE)),0,VLOOKUP($A9,'Prime Salariés T4 2026'!$A$4:$H$28,6,FALSE))</f>
        <v/>
      </c>
      <c r="I9" s="94" t="str">
        <f>IF(ISNA(VLOOKUP($A9,'Prime Salariés T4 2026'!$A$4:$H$28,7,FALSE)),0,VLOOKUP($A9,'Prime Salariés T4 2026'!$A$4:$H$28,7,FALSE))</f>
        <v/>
      </c>
      <c r="J9" s="90">
        <f t="shared" si="2"/>
        <v>8898.23</v>
      </c>
      <c r="K9" s="90">
        <f t="shared" ref="K9:L9" si="9">B9+D9+F9+H9</f>
        <v>0</v>
      </c>
      <c r="L9" s="91">
        <f t="shared" si="9"/>
        <v>8898.23</v>
      </c>
      <c r="M9" s="92"/>
      <c r="N9" s="44"/>
      <c r="O9" s="93"/>
      <c r="S9" s="44"/>
    </row>
    <row r="10">
      <c r="A10" s="88" t="s">
        <v>133</v>
      </c>
      <c r="B10" s="89"/>
      <c r="C10" s="89"/>
      <c r="D10" s="89"/>
      <c r="E10" s="89"/>
      <c r="F10" s="89"/>
      <c r="G10" s="89"/>
      <c r="H10" s="89"/>
      <c r="I10" s="89"/>
      <c r="J10" s="90">
        <f t="shared" si="2"/>
        <v>0</v>
      </c>
      <c r="K10" s="90">
        <f t="shared" ref="K10:L10" si="10">B10+D10+F10+H10</f>
        <v>0</v>
      </c>
      <c r="L10" s="91">
        <f t="shared" si="10"/>
        <v>0</v>
      </c>
      <c r="M10" s="92" t="str">
        <f>L10/J10</f>
        <v>#DIV/0!</v>
      </c>
      <c r="N10" s="44">
        <f t="shared" ref="N10:N11" si="12">IF(L10&lt;500,0,IF(L10&lt;10000,INT(L10*$P$1/($N$1*0.7)),"formule a compléter"))</f>
        <v>0</v>
      </c>
      <c r="O10" s="93">
        <f t="shared" ref="O10:O11" si="13">L10-N10*(N$1*0.7)/P$1</f>
        <v>0</v>
      </c>
      <c r="Q10" s="93">
        <f t="shared" ref="Q10:Q11" si="14">O10+N10*$N$1/$P$1</f>
        <v>0</v>
      </c>
      <c r="S10" s="44"/>
    </row>
    <row r="11">
      <c r="A11" s="20" t="s">
        <v>126</v>
      </c>
      <c r="B11" s="94" t="str">
        <f>IF(ISNA(VLOOKUP($A11,'Prime Salariés T1 2026'!$A$3:$H$32,6,FALSE)),0,VLOOKUP($A11,'Prime Salariés T1 2026'!$A$3:$H$32,6,FALSE))</f>
        <v/>
      </c>
      <c r="C11" s="94">
        <f>IF(ISNA(VLOOKUP($A11,'Prime Salariés T1 2026'!$A$3:$H$32,7,FALSE)),0,VLOOKUP($A11,'Prime Salariés T1 2026'!$A$3:$H$32,7,FALSE))</f>
        <v>2920</v>
      </c>
      <c r="D11" s="94" t="str">
        <f>IF(ISNA(VLOOKUP($A11,'Prime Salariés T2 2026'!$A$3:$G$22,6,FALSE)),0,VLOOKUP($A11,'Prime Salariés T2 2026'!$A$3:$G$22,6,FALSE))</f>
        <v/>
      </c>
      <c r="E11" s="94">
        <f>IF(ISNA(VLOOKUP($A11,'Prime Salariés T2 2026'!$A$3:$G$22,7,FALSE)),0,VLOOKUP($A11,'Prime Salariés T2 2026'!$A$3:$G$22,7,FALSE))</f>
        <v>2125</v>
      </c>
      <c r="F11" s="94" t="str">
        <f>IF(ISNA(VLOOKUP($A11,'Prime Salariés T3 2026'!$A$4:$I$26,6,FALSE)),0,VLOOKUP($A11,'Prime Salariés T3 2026'!$A$4:$I$26,6,FALSE))</f>
        <v/>
      </c>
      <c r="G11" s="94" t="str">
        <f>IF(ISNA(VLOOKUP($A11,'Prime Salariés T3 2026'!$A$4:$I$26,7,FALSE)),0,VLOOKUP($A11,'Prime Salariés T3 2026'!$A$4:$I$26,7,FALSE))</f>
        <v/>
      </c>
      <c r="H11" s="94" t="str">
        <f>IF(ISNA(VLOOKUP($A11,'Prime Salariés T4 2026'!$A$4:$H$28,6,FALSE)),0,VLOOKUP($A11,'Prime Salariés T4 2026'!$A$4:$H$28,6,FALSE))</f>
        <v/>
      </c>
      <c r="I11" s="94" t="str">
        <f>IF(ISNA(VLOOKUP($A11,'Prime Salariés T4 2026'!$A$4:$H$28,7,FALSE)),0,VLOOKUP($A11,'Prime Salariés T4 2026'!$A$4:$H$28,7,FALSE))</f>
        <v/>
      </c>
      <c r="J11" s="90">
        <f t="shared" si="2"/>
        <v>5045</v>
      </c>
      <c r="K11" s="90">
        <f t="shared" ref="K11:L11" si="11">B11+D11+F11+H11</f>
        <v>0</v>
      </c>
      <c r="L11" s="91">
        <f t="shared" si="11"/>
        <v>5045</v>
      </c>
      <c r="M11" s="92"/>
      <c r="N11" s="44">
        <f t="shared" si="12"/>
        <v>149</v>
      </c>
      <c r="O11" s="93">
        <f t="shared" si="13"/>
        <v>21.36782609</v>
      </c>
      <c r="Q11" s="93">
        <f t="shared" si="14"/>
        <v>7197.985217</v>
      </c>
      <c r="S11" s="44"/>
    </row>
    <row r="12">
      <c r="A12" s="20" t="s">
        <v>143</v>
      </c>
      <c r="B12" s="94" t="str">
        <f>IF(ISNA(VLOOKUP($A12,'Prime Salariés T1 2026'!$A$3:$H$32,6,FALSE)),0,VLOOKUP($A12,'Prime Salariés T1 2026'!$A$3:$H$32,6,FALSE))</f>
        <v/>
      </c>
      <c r="C12" s="94">
        <f>IF(ISNA(VLOOKUP($A12,'Prime Salariés T1 2026'!$A$3:$H$32,7,FALSE)),0,VLOOKUP($A12,'Prime Salariés T1 2026'!$A$3:$H$32,7,FALSE))</f>
        <v>1010</v>
      </c>
      <c r="D12" s="94" t="str">
        <f>IF(ISNA(VLOOKUP($A12,'Prime Salariés T2 2026'!$A$3:$G$22,6,FALSE)),0,VLOOKUP($A12,'Prime Salariés T2 2026'!$A$3:$G$22,6,FALSE))</f>
        <v/>
      </c>
      <c r="E12" s="94">
        <f>IF(ISNA(VLOOKUP($A12,'Prime Salariés T2 2026'!$A$3:$G$22,7,FALSE)),0,VLOOKUP($A12,'Prime Salariés T2 2026'!$A$3:$G$22,7,FALSE))</f>
        <v>1355</v>
      </c>
      <c r="F12" s="94" t="str">
        <f>IF(ISNA(VLOOKUP($A12,'Prime Salariés T3 2026'!$A$4:$I$26,6,FALSE)),0,VLOOKUP($A12,'Prime Salariés T3 2026'!$A$4:$I$26,6,FALSE))</f>
        <v/>
      </c>
      <c r="G12" s="94" t="str">
        <f>IF(ISNA(VLOOKUP($A12,'Prime Salariés T3 2026'!$A$4:$I$26,7,FALSE)),0,VLOOKUP($A12,'Prime Salariés T3 2026'!$A$4:$I$26,7,FALSE))</f>
        <v/>
      </c>
      <c r="H12" s="94" t="str">
        <f>IF(ISNA(VLOOKUP($A12,'Prime Salariés T4 2026'!$A$4:$H$28,6,FALSE)),0,VLOOKUP($A12,'Prime Salariés T4 2026'!$A$4:$H$28,6,FALSE))</f>
        <v/>
      </c>
      <c r="I12" s="94" t="str">
        <f>IF(ISNA(VLOOKUP($A12,'Prime Salariés T4 2026'!$A$4:$H$28,7,FALSE)),0,VLOOKUP($A12,'Prime Salariés T4 2026'!$A$4:$H$28,7,FALSE))</f>
        <v/>
      </c>
      <c r="J12" s="90">
        <f t="shared" si="2"/>
        <v>2365</v>
      </c>
      <c r="K12" s="90">
        <f t="shared" ref="K12:L12" si="15">B12+D12+F12+H12</f>
        <v>0</v>
      </c>
      <c r="L12" s="91">
        <f t="shared" si="15"/>
        <v>2365</v>
      </c>
      <c r="M12" s="92"/>
      <c r="N12" s="44"/>
      <c r="O12" s="93"/>
      <c r="S12" s="44"/>
    </row>
    <row r="13">
      <c r="A13" s="20" t="s">
        <v>150</v>
      </c>
      <c r="B13" s="94" t="str">
        <f>IF(ISNA(VLOOKUP($A13,'Prime Salariés T1 2026'!$A$3:$H$32,6,FALSE)),0,VLOOKUP($A13,'Prime Salariés T1 2026'!$A$3:$H$32,6,FALSE))</f>
        <v/>
      </c>
      <c r="C13" s="94">
        <f>IF(ISNA(VLOOKUP($A13,'Prime Salariés T1 2026'!$A$3:$H$32,7,FALSE)),0,VLOOKUP($A13,'Prime Salariés T1 2026'!$A$3:$H$32,7,FALSE))</f>
        <v>471</v>
      </c>
      <c r="D13" s="94" t="str">
        <f>IF(ISNA(VLOOKUP($A13,'Prime Salariés T2 2026'!$A$3:$G$22,6,FALSE)),0,VLOOKUP($A13,'Prime Salariés T2 2026'!$A$3:$G$22,6,FALSE))</f>
        <v/>
      </c>
      <c r="E13" s="94">
        <f>IF(ISNA(VLOOKUP($A13,'Prime Salariés T2 2026'!$A$3:$G$22,7,FALSE)),0,VLOOKUP($A13,'Prime Salariés T2 2026'!$A$3:$G$22,7,FALSE))</f>
        <v>324</v>
      </c>
      <c r="F13" s="94" t="str">
        <f>IF(ISNA(VLOOKUP($A13,'Prime Salariés T3 2026'!$A$4:$I$26,6,FALSE)),0,VLOOKUP($A13,'Prime Salariés T3 2026'!$A$4:$I$26,6,FALSE))</f>
        <v/>
      </c>
      <c r="G13" s="94" t="str">
        <f>IF(ISNA(VLOOKUP($A13,'Prime Salariés T3 2026'!$A$4:$I$26,7,FALSE)),0,VLOOKUP($A13,'Prime Salariés T3 2026'!$A$4:$I$26,7,FALSE))</f>
        <v/>
      </c>
      <c r="H13" s="94" t="str">
        <f>IF(ISNA(VLOOKUP($A13,'Prime Salariés T4 2026'!$A$4:$H$28,6,FALSE)),0,VLOOKUP($A13,'Prime Salariés T4 2026'!$A$4:$H$28,6,FALSE))</f>
        <v/>
      </c>
      <c r="I13" s="94" t="str">
        <f>IF(ISNA(VLOOKUP($A13,'Prime Salariés T4 2026'!$A$4:$H$28,7,FALSE)),0,VLOOKUP($A13,'Prime Salariés T4 2026'!$A$4:$H$28,7,FALSE))</f>
        <v/>
      </c>
      <c r="J13" s="90">
        <f t="shared" si="2"/>
        <v>795</v>
      </c>
      <c r="K13" s="90">
        <f t="shared" ref="K13:L13" si="16">B13+D13+F13+H13</f>
        <v>0</v>
      </c>
      <c r="L13" s="91">
        <f t="shared" si="16"/>
        <v>795</v>
      </c>
      <c r="M13" s="92">
        <f t="shared" ref="M13:M14" si="18">L13/J13</f>
        <v>1</v>
      </c>
      <c r="N13" s="44">
        <f t="shared" ref="N13:N14" si="19">IF(L13&lt;500,0,IF(L13&lt;10000,INT(L13*$P$1/($N$1*0.7)),"formule a compléter"))</f>
        <v>23</v>
      </c>
      <c r="O13" s="93">
        <f t="shared" ref="O13:O14" si="20">L13-N13*(N$1*0.7)/P$1</f>
        <v>19.54</v>
      </c>
      <c r="Q13" s="93">
        <f t="shared" ref="Q13:Q14" si="21">O13+N13*$N$1/$P$1</f>
        <v>1127.34</v>
      </c>
      <c r="S13" s="44"/>
    </row>
    <row r="14">
      <c r="A14" s="20" t="s">
        <v>152</v>
      </c>
      <c r="B14" s="94">
        <f>IF(ISNA(VLOOKUP($A14,'Prime Salariés T1 2026'!$A$3:$H$32,6,FALSE)),0,VLOOKUP($A14,'Prime Salariés T1 2026'!$A$3:$H$32,6,FALSE))</f>
        <v>1234</v>
      </c>
      <c r="C14" s="94" t="str">
        <f>IF(ISNA(VLOOKUP($A14,'Prime Salariés T1 2026'!$A$3:$H$32,7,FALSE)),0,VLOOKUP($A14,'Prime Salariés T1 2026'!$A$3:$H$32,7,FALSE))</f>
        <v/>
      </c>
      <c r="D14" s="94">
        <f>IF(ISNA(VLOOKUP($A14,'Prime Salariés T2 2026'!$A$3:$G$22,6,FALSE)),0,VLOOKUP($A14,'Prime Salariés T2 2026'!$A$3:$G$22,6,FALSE))</f>
        <v>997</v>
      </c>
      <c r="E14" s="94" t="str">
        <f>IF(ISNA(VLOOKUP($A14,'Prime Salariés T2 2026'!$A$3:$G$22,7,FALSE)),0,VLOOKUP($A14,'Prime Salariés T2 2026'!$A$3:$G$22,7,FALSE))</f>
        <v/>
      </c>
      <c r="F14" s="94" t="str">
        <f>IF(ISNA(VLOOKUP($A14,'Prime Salariés T3 2026'!$A$4:$I$26,6,FALSE)),0,VLOOKUP($A14,'Prime Salariés T3 2026'!$A$4:$I$26,6,FALSE))</f>
        <v/>
      </c>
      <c r="G14" s="94" t="str">
        <f>IF(ISNA(VLOOKUP($A14,'Prime Salariés T3 2026'!$A$4:$I$26,7,FALSE)),0,VLOOKUP($A14,'Prime Salariés T3 2026'!$A$4:$I$26,7,FALSE))</f>
        <v/>
      </c>
      <c r="H14" s="94" t="str">
        <f>IF(ISNA(VLOOKUP($A14,'Prime Salariés T4 2026'!$A$4:$H$28,6,FALSE)),0,VLOOKUP($A14,'Prime Salariés T4 2026'!$A$4:$H$28,6,FALSE))</f>
        <v/>
      </c>
      <c r="I14" s="94" t="str">
        <f>IF(ISNA(VLOOKUP($A14,'Prime Salariés T4 2026'!$A$4:$H$28,7,FALSE)),0,VLOOKUP($A14,'Prime Salariés T4 2026'!$A$4:$H$28,7,FALSE))</f>
        <v/>
      </c>
      <c r="J14" s="90">
        <f t="shared" si="2"/>
        <v>2231</v>
      </c>
      <c r="K14" s="90">
        <f t="shared" ref="K14:L14" si="17">B14+D14+F14+H14</f>
        <v>2231</v>
      </c>
      <c r="L14" s="91">
        <f t="shared" si="17"/>
        <v>0</v>
      </c>
      <c r="M14" s="92">
        <f t="shared" si="18"/>
        <v>0</v>
      </c>
      <c r="N14" s="44">
        <f t="shared" si="19"/>
        <v>0</v>
      </c>
      <c r="O14" s="93">
        <f t="shared" si="20"/>
        <v>0</v>
      </c>
      <c r="Q14" s="93">
        <f t="shared" si="21"/>
        <v>0</v>
      </c>
      <c r="S14" s="44"/>
    </row>
    <row r="15">
      <c r="A15" s="20" t="s">
        <v>81</v>
      </c>
      <c r="B15" s="94">
        <f>IF(ISNA(VLOOKUP($A15,'Prime Salariés T1 2026'!$A$3:$H$32,6,FALSE)),0,VLOOKUP($A15,'Prime Salariés T1 2026'!$A$3:$H$32,6,FALSE))</f>
        <v>794</v>
      </c>
      <c r="C15" s="94" t="str">
        <f>IF(ISNA(VLOOKUP($A15,'Prime Salariés T1 2026'!$A$3:$H$32,7,FALSE)),0,VLOOKUP($A15,'Prime Salariés T1 2026'!$A$3:$H$32,7,FALSE))</f>
        <v/>
      </c>
      <c r="D15" s="94">
        <f>IF(ISNA(VLOOKUP($A15,'Prime Salariés T2 2026'!$A$3:$G$22,6,FALSE)),0,VLOOKUP($A15,'Prime Salariés T2 2026'!$A$3:$G$22,6,FALSE))</f>
        <v>811</v>
      </c>
      <c r="E15" s="94" t="str">
        <f>IF(ISNA(VLOOKUP($A15,'Prime Salariés T2 2026'!$A$3:$G$22,7,FALSE)),0,VLOOKUP($A15,'Prime Salariés T2 2026'!$A$3:$G$22,7,FALSE))</f>
        <v/>
      </c>
      <c r="F15" s="94" t="str">
        <f>IF(ISNA(VLOOKUP($A15,'Prime Salariés T3 2026'!$A$4:$I$26,6,FALSE)),0,VLOOKUP($A15,'Prime Salariés T3 2026'!$A$4:$I$26,6,FALSE))</f>
        <v/>
      </c>
      <c r="G15" s="94" t="str">
        <f>IF(ISNA(VLOOKUP($A15,'Prime Salariés T3 2026'!$A$4:$I$26,7,FALSE)),0,VLOOKUP($A15,'Prime Salariés T3 2026'!$A$4:$I$26,7,FALSE))</f>
        <v/>
      </c>
      <c r="H15" s="94" t="str">
        <f>IF(ISNA(VLOOKUP($A15,'Prime Salariés T4 2026'!$A$4:$H$28,6,FALSE)),0,VLOOKUP($A15,'Prime Salariés T4 2026'!$A$4:$H$28,6,FALSE))</f>
        <v/>
      </c>
      <c r="I15" s="94" t="str">
        <f>IF(ISNA(VLOOKUP($A15,'Prime Salariés T4 2026'!$A$4:$H$28,7,FALSE)),0,VLOOKUP($A15,'Prime Salariés T4 2026'!$A$4:$H$28,7,FALSE))</f>
        <v/>
      </c>
      <c r="J15" s="90">
        <f t="shared" si="2"/>
        <v>1605</v>
      </c>
      <c r="K15" s="90">
        <f t="shared" ref="K15:L15" si="22">B15+D15+F15+H15</f>
        <v>1605</v>
      </c>
      <c r="L15" s="91">
        <f t="shared" si="22"/>
        <v>0</v>
      </c>
      <c r="M15" s="92"/>
      <c r="N15" s="44"/>
      <c r="O15" s="93"/>
      <c r="S15" s="44"/>
    </row>
    <row r="16">
      <c r="A16" s="20" t="s">
        <v>174</v>
      </c>
      <c r="B16" s="94">
        <f>IF(ISNA(VLOOKUP($A16,'Prime Salariés T1 2026'!$A$3:$H$32,6,FALSE)),0,VLOOKUP($A16,'Prime Salariés T1 2026'!$A$3:$H$32,6,FALSE))</f>
        <v>975</v>
      </c>
      <c r="C16" s="94" t="str">
        <f>IF(ISNA(VLOOKUP($A16,'Prime Salariés T1 2026'!$A$3:$H$32,7,FALSE)),0,VLOOKUP($A16,'Prime Salariés T1 2026'!$A$3:$H$32,7,FALSE))</f>
        <v/>
      </c>
      <c r="D16" s="94">
        <f>IF(ISNA(VLOOKUP($A16,'Prime Salariés T2 2026'!$A$3:$G$22,6,FALSE)),0,VLOOKUP($A16,'Prime Salariés T2 2026'!$A$3:$G$22,6,FALSE))</f>
        <v>1272</v>
      </c>
      <c r="E16" s="94" t="str">
        <f>IF(ISNA(VLOOKUP($A16,'Prime Salariés T2 2026'!$A$3:$G$22,7,FALSE)),0,VLOOKUP($A16,'Prime Salariés T2 2026'!$A$3:$G$22,7,FALSE))</f>
        <v/>
      </c>
      <c r="F16" s="94">
        <f>IF(ISNA(VLOOKUP($A16,'Prime Salariés T3 2026'!$A$4:$I$26,6,FALSE)),0,VLOOKUP($A16,'Prime Salariés T3 2026'!$A$4:$I$26,6,FALSE))</f>
        <v>0</v>
      </c>
      <c r="G16" s="94">
        <f>IF(ISNA(VLOOKUP($A16,'Prime Salariés T3 2026'!$A$4:$I$26,7,FALSE)),0,VLOOKUP($A16,'Prime Salariés T3 2026'!$A$4:$I$26,7,FALSE))</f>
        <v>0</v>
      </c>
      <c r="H16" s="94" t="str">
        <f>IF(ISNA(VLOOKUP($A16,'Prime Salariés T4 2026'!$A$4:$H$28,6,FALSE)),0,VLOOKUP($A16,'Prime Salariés T4 2026'!$A$4:$H$28,6,FALSE))</f>
        <v/>
      </c>
      <c r="I16" s="94" t="str">
        <f>IF(ISNA(VLOOKUP($A16,'Prime Salariés T4 2026'!$A$4:$H$28,7,FALSE)),0,VLOOKUP($A16,'Prime Salariés T4 2026'!$A$4:$H$28,7,FALSE))</f>
        <v/>
      </c>
      <c r="J16" s="90">
        <f t="shared" si="2"/>
        <v>2247</v>
      </c>
      <c r="K16" s="90">
        <f t="shared" ref="K16:L16" si="23">B16+D16+F16+H16</f>
        <v>2247</v>
      </c>
      <c r="L16" s="91">
        <f t="shared" si="23"/>
        <v>0</v>
      </c>
      <c r="M16" s="92">
        <f>L16/J16</f>
        <v>0</v>
      </c>
      <c r="N16" s="44">
        <f t="shared" ref="N16:N17" si="25">IF(L16&lt;500,0,IF(L16&lt;10000,INT(L16*$P$1/($N$1*0.7)),"formule a compléter"))</f>
        <v>0</v>
      </c>
      <c r="O16" s="93">
        <f t="shared" ref="O16:O17" si="26">L16-N16*(N$1*0.7)/P$1</f>
        <v>0</v>
      </c>
      <c r="Q16" s="93">
        <f t="shared" ref="Q16:Q17" si="27">O16+N16*$N$1/$P$1</f>
        <v>0</v>
      </c>
      <c r="S16" s="44"/>
    </row>
    <row r="17">
      <c r="A17" s="20" t="s">
        <v>176</v>
      </c>
      <c r="B17" s="94">
        <f>IF(ISNA(VLOOKUP($A17,'Prime Salariés T1 2026'!$A$3:$H$32,6,FALSE)),0,VLOOKUP($A17,'Prime Salariés T1 2026'!$A$3:$H$32,6,FALSE))</f>
        <v>387</v>
      </c>
      <c r="C17" s="94" t="str">
        <f>IF(ISNA(VLOOKUP($A17,'Prime Salariés T1 2026'!$A$3:$H$32,7,FALSE)),0,VLOOKUP($A17,'Prime Salariés T1 2026'!$A$3:$H$32,7,FALSE))</f>
        <v/>
      </c>
      <c r="D17" s="94">
        <f>IF(ISNA(VLOOKUP($A17,'Prime Salariés T2 2026'!$A$3:$G$22,6,FALSE)),0,VLOOKUP($A17,'Prime Salariés T2 2026'!$A$3:$G$22,6,FALSE))</f>
        <v>441</v>
      </c>
      <c r="E17" s="94" t="str">
        <f>IF(ISNA(VLOOKUP($A17,'Prime Salariés T2 2026'!$A$3:$G$22,7,FALSE)),0,VLOOKUP($A17,'Prime Salariés T2 2026'!$A$3:$G$22,7,FALSE))</f>
        <v/>
      </c>
      <c r="F17" s="94" t="str">
        <f>IF(ISNA(VLOOKUP($A17,'Prime Salariés T3 2026'!$A$4:$I$26,6,FALSE)),0,VLOOKUP($A17,'Prime Salariés T3 2026'!$A$4:$I$26,6,FALSE))</f>
        <v/>
      </c>
      <c r="G17" s="94" t="str">
        <f>IF(ISNA(VLOOKUP($A17,'Prime Salariés T3 2026'!$A$4:$I$26,7,FALSE)),0,VLOOKUP($A17,'Prime Salariés T3 2026'!$A$4:$I$26,7,FALSE))</f>
        <v/>
      </c>
      <c r="H17" s="94" t="str">
        <f>IF(ISNA(VLOOKUP($A17,'Prime Salariés T4 2026'!$A$4:$H$28,6,FALSE)),0,VLOOKUP($A17,'Prime Salariés T4 2026'!$A$4:$H$28,6,FALSE))</f>
        <v/>
      </c>
      <c r="I17" s="94" t="str">
        <f>IF(ISNA(VLOOKUP($A17,'Prime Salariés T4 2026'!$A$4:$H$28,7,FALSE)),0,VLOOKUP($A17,'Prime Salariés T4 2026'!$A$4:$H$28,7,FALSE))</f>
        <v/>
      </c>
      <c r="J17" s="90">
        <f t="shared" si="2"/>
        <v>828</v>
      </c>
      <c r="K17" s="90">
        <f t="shared" ref="K17:L17" si="24">B17+D17+F17+H17</f>
        <v>828</v>
      </c>
      <c r="L17" s="91">
        <f t="shared" si="24"/>
        <v>0</v>
      </c>
      <c r="M17" s="92"/>
      <c r="N17" s="44">
        <f t="shared" si="25"/>
        <v>0</v>
      </c>
      <c r="O17" s="93">
        <f t="shared" si="26"/>
        <v>0</v>
      </c>
      <c r="Q17" s="93">
        <f t="shared" si="27"/>
        <v>0</v>
      </c>
      <c r="S17" s="44"/>
    </row>
    <row r="18">
      <c r="A18" s="20" t="s">
        <v>309</v>
      </c>
      <c r="B18" s="94"/>
      <c r="C18" s="94"/>
      <c r="D18" s="94" t="str">
        <f>IF(ISNA(VLOOKUP($A18,'Prime Salariés T2 2026'!$A$3:$G$22,6,FALSE)),0,VLOOKUP($A18,'Prime Salariés T2 2026'!$A$3:$G$22,6,FALSE))</f>
        <v/>
      </c>
      <c r="E18" s="94">
        <f>IF(ISNA(VLOOKUP($A18,'Prime Salariés T2 2026'!$A$3:$G$22,7,FALSE)),0,VLOOKUP($A18,'Prime Salariés T2 2026'!$A$3:$G$22,7,FALSE))</f>
        <v>500</v>
      </c>
      <c r="F18" s="94">
        <f>IF(ISNA(VLOOKUP($A18,'Prime Salariés T3 2026'!$A$4:$I$26,6,FALSE)),0,VLOOKUP($A18,'Prime Salariés T3 2026'!$A$4:$I$26,6,FALSE))</f>
        <v>0</v>
      </c>
      <c r="G18" s="94">
        <f>IF(ISNA(VLOOKUP($A18,'Prime Salariés T3 2026'!$A$4:$I$26,7,FALSE)),0,VLOOKUP($A18,'Prime Salariés T3 2026'!$A$4:$I$26,7,FALSE))</f>
        <v>0</v>
      </c>
      <c r="H18" s="94">
        <f>IF(ISNA(VLOOKUP($A18,'Prime Salariés T4 2026'!$A$4:$H$28,6,FALSE)),0,VLOOKUP($A18,'Prime Salariés T4 2026'!$A$4:$H$28,6,FALSE))</f>
        <v>0</v>
      </c>
      <c r="I18" s="94">
        <f>IF(ISNA(VLOOKUP($A18,'Prime Salariés T4 2026'!$A$4:$H$28,7,FALSE)),0,VLOOKUP($A18,'Prime Salariés T4 2026'!$A$4:$H$28,7,FALSE))</f>
        <v>0</v>
      </c>
      <c r="J18" s="90">
        <f t="shared" si="2"/>
        <v>500</v>
      </c>
      <c r="K18" s="90">
        <f t="shared" ref="K18:L18" si="28">B18+D18+F18+H18</f>
        <v>0</v>
      </c>
      <c r="L18" s="91">
        <f t="shared" si="28"/>
        <v>500</v>
      </c>
      <c r="M18" s="92"/>
      <c r="N18" s="44"/>
      <c r="O18" s="93"/>
      <c r="S18" s="44"/>
    </row>
    <row r="19">
      <c r="A19" s="20" t="s">
        <v>178</v>
      </c>
      <c r="B19" s="94">
        <f>IF(ISNA(VLOOKUP($A19,'Prime Salariés T1 2026'!$A$3:$H$32,6,FALSE)),0,VLOOKUP($A19,'Prime Salariés T1 2026'!$A$3:$H$32,6,FALSE))</f>
        <v>600</v>
      </c>
      <c r="C19" s="94" t="str">
        <f>IF(ISNA(VLOOKUP($A19,'Prime Salariés T1 2026'!$A$3:$H$32,7,FALSE)),0,VLOOKUP($A19,'Prime Salariés T1 2026'!$A$3:$H$32,7,FALSE))</f>
        <v/>
      </c>
      <c r="D19" s="94">
        <f>IF(ISNA(VLOOKUP($A19,'Prime Salariés T2 2026'!$A$3:$G$22,6,FALSE)),0,VLOOKUP($A19,'Prime Salariés T2 2026'!$A$3:$G$22,6,FALSE))</f>
        <v>0</v>
      </c>
      <c r="E19" s="94">
        <f>IF(ISNA(VLOOKUP($A19,'Prime Salariés T2 2026'!$A$3:$G$22,7,FALSE)),0,VLOOKUP($A19,'Prime Salariés T2 2026'!$A$3:$G$22,7,FALSE))</f>
        <v>0</v>
      </c>
      <c r="F19" s="94">
        <f>IF(ISNA(VLOOKUP($A19,'Prime Salariés T3 2026'!$A$4:$I$26,6,FALSE)),0,VLOOKUP($A19,'Prime Salariés T3 2026'!$A$4:$I$26,6,FALSE))</f>
        <v>0</v>
      </c>
      <c r="G19" s="94">
        <f>IF(ISNA(VLOOKUP($A19,'Prime Salariés T3 2026'!$A$4:$I$26,7,FALSE)),0,VLOOKUP($A19,'Prime Salariés T3 2026'!$A$4:$I$26,7,FALSE))</f>
        <v>0</v>
      </c>
      <c r="H19" s="94" t="str">
        <f>IF(ISNA(VLOOKUP($A19,'Prime Salariés T4 2026'!$A$4:$H$28,6,FALSE)),0,VLOOKUP($A19,'Prime Salariés T4 2026'!$A$4:$H$28,6,FALSE))</f>
        <v/>
      </c>
      <c r="I19" s="94" t="str">
        <f>IF(ISNA(VLOOKUP($A19,'Prime Salariés T4 2026'!$A$4:$H$28,7,FALSE)),0,VLOOKUP($A19,'Prime Salariés T4 2026'!$A$4:$H$28,7,FALSE))</f>
        <v/>
      </c>
      <c r="J19" s="90">
        <f t="shared" si="2"/>
        <v>600</v>
      </c>
      <c r="K19" s="90">
        <f t="shared" ref="K19:L19" si="29">B19+D19+F19+H19</f>
        <v>600</v>
      </c>
      <c r="L19" s="91">
        <f t="shared" si="29"/>
        <v>0</v>
      </c>
      <c r="M19" s="92"/>
      <c r="N19" s="44"/>
      <c r="O19" s="93"/>
      <c r="S19" s="44"/>
    </row>
    <row r="20">
      <c r="A20" s="20" t="s">
        <v>195</v>
      </c>
      <c r="B20" s="94">
        <f>IF(ISNA(VLOOKUP($A20,'Prime Salariés T1 2026'!$A$3:$H$32,6,FALSE)),0,VLOOKUP($A20,'Prime Salariés T1 2026'!$A$3:$H$32,6,FALSE))</f>
        <v>414</v>
      </c>
      <c r="C20" s="94" t="str">
        <f>IF(ISNA(VLOOKUP($A20,'Prime Salariés T1 2026'!$A$3:$H$32,7,FALSE)),0,VLOOKUP($A20,'Prime Salariés T1 2026'!$A$3:$H$32,7,FALSE))</f>
        <v/>
      </c>
      <c r="D20" s="94">
        <f>IF(ISNA(VLOOKUP($A20,'Prime Salariés T2 2026'!$A$3:$G$22,6,FALSE)),0,VLOOKUP($A20,'Prime Salariés T2 2026'!$A$3:$G$22,6,FALSE))</f>
        <v>349</v>
      </c>
      <c r="E20" s="94" t="str">
        <f>IF(ISNA(VLOOKUP($A20,'Prime Salariés T2 2026'!$A$3:$G$22,7,FALSE)),0,VLOOKUP($A20,'Prime Salariés T2 2026'!$A$3:$G$22,7,FALSE))</f>
        <v/>
      </c>
      <c r="F20" s="94">
        <f>IF(ISNA(VLOOKUP($A20,'Prime Salariés T3 2026'!$A$4:$I$26,6,FALSE)),0,VLOOKUP($A20,'Prime Salariés T3 2026'!$A$4:$I$26,6,FALSE))</f>
        <v>0</v>
      </c>
      <c r="G20" s="94">
        <f>IF(ISNA(VLOOKUP($A20,'Prime Salariés T3 2026'!$A$4:$I$26,7,FALSE)),0,VLOOKUP($A20,'Prime Salariés T3 2026'!$A$4:$I$26,7,FALSE))</f>
        <v>0</v>
      </c>
      <c r="H20" s="94">
        <f>IF(ISNA(VLOOKUP($A20,'Prime Salariés T4 2026'!$A$4:$H$28,6,FALSE)),0,VLOOKUP($A20,'Prime Salariés T4 2026'!$A$4:$H$28,6,FALSE))</f>
        <v>0</v>
      </c>
      <c r="I20" s="94">
        <f>IF(ISNA(VLOOKUP($A20,'Prime Salariés T4 2026'!$A$4:$H$28,7,FALSE)),0,VLOOKUP($A20,'Prime Salariés T4 2026'!$A$4:$H$28,7,FALSE))</f>
        <v>0</v>
      </c>
      <c r="J20" s="90">
        <f t="shared" si="2"/>
        <v>763</v>
      </c>
      <c r="K20" s="90">
        <f t="shared" ref="K20:L20" si="30">B20+D20+F20+H20</f>
        <v>763</v>
      </c>
      <c r="L20" s="91">
        <f t="shared" si="30"/>
        <v>0</v>
      </c>
      <c r="M20" s="92" t="str">
        <f>L21/J21</f>
        <v>#DIV/0!</v>
      </c>
      <c r="N20" s="44">
        <f>IF(L21&lt;500,0,IF(L21&lt;10000,INT(L21*$P$1/($N$1*0.7)),"formule a compléter"))</f>
        <v>0</v>
      </c>
      <c r="O20" s="93">
        <f>L21-N20*(N$1*0.7)/P$1</f>
        <v>0</v>
      </c>
      <c r="Q20" s="93">
        <f>O20+N20*$N$1/$P$1</f>
        <v>0</v>
      </c>
      <c r="S20" s="44"/>
    </row>
    <row r="21">
      <c r="A21" s="88" t="s">
        <v>311</v>
      </c>
      <c r="B21" s="89"/>
      <c r="C21" s="89"/>
      <c r="D21" s="89"/>
      <c r="E21" s="89"/>
      <c r="F21" s="89"/>
      <c r="G21" s="89"/>
      <c r="H21" s="89"/>
      <c r="I21" s="89"/>
      <c r="J21" s="90">
        <f t="shared" si="2"/>
        <v>0</v>
      </c>
      <c r="K21" s="90">
        <f t="shared" ref="K21:L21" si="31">B21+D21+F21+H21</f>
        <v>0</v>
      </c>
      <c r="L21" s="91">
        <f t="shared" si="31"/>
        <v>0</v>
      </c>
      <c r="M21" s="92"/>
      <c r="N21" s="44"/>
      <c r="O21" s="93"/>
      <c r="S21" s="44"/>
    </row>
    <row r="22">
      <c r="A22" s="20" t="s">
        <v>312</v>
      </c>
      <c r="B22" s="94" t="str">
        <f>IF(ISNA(VLOOKUP($A22,'Prime Salariés T1 2026'!$A$3:$H$32,6,FALSE)),0,VLOOKUP($A22,'Prime Salariés T1 2026'!$A$3:$H$32,6,FALSE))</f>
        <v/>
      </c>
      <c r="C22" s="94">
        <f>IF(ISNA(VLOOKUP($A22,'Prime Salariés T1 2026'!$A$3:$H$32,7,FALSE)),0,VLOOKUP($A22,'Prime Salariés T1 2026'!$A$3:$H$32,7,FALSE))</f>
        <v>764</v>
      </c>
      <c r="D22" s="94" t="str">
        <f>IF(ISNA(VLOOKUP($A22,'Prime Salariés T2 2026'!$A$3:$G$22,6,FALSE)),0,VLOOKUP($A22,'Prime Salariés T2 2026'!$A$3:$G$22,6,FALSE))</f>
        <v/>
      </c>
      <c r="E22" s="94">
        <f>IF(ISNA(VLOOKUP($A22,'Prime Salariés T2 2026'!$A$3:$G$22,7,FALSE)),0,VLOOKUP($A22,'Prime Salariés T2 2026'!$A$3:$G$22,7,FALSE))</f>
        <v>681</v>
      </c>
      <c r="F22" s="94" t="str">
        <f>IF(ISNA(VLOOKUP($A22,'Prime Salariés T3 2026'!$A$4:$I$26,6,FALSE)),0,VLOOKUP($A22,'Prime Salariés T3 2026'!$A$4:$I$26,6,FALSE))</f>
        <v/>
      </c>
      <c r="G22" s="94" t="str">
        <f>IF(ISNA(VLOOKUP($A22,'Prime Salariés T3 2026'!$A$4:$I$26,7,FALSE)),0,VLOOKUP($A22,'Prime Salariés T3 2026'!$A$4:$I$26,7,FALSE))</f>
        <v/>
      </c>
      <c r="H22" s="94" t="str">
        <f>IF(ISNA(VLOOKUP($A22,'Prime Salariés T4 2026'!$A$4:$H$28,6,FALSE)),0,VLOOKUP($A22,'Prime Salariés T4 2026'!$A$4:$H$28,6,FALSE))</f>
        <v/>
      </c>
      <c r="I22" s="94" t="str">
        <f>IF(ISNA(VLOOKUP($A22,'Prime Salariés T4 2026'!$A$4:$H$28,7,FALSE)),0,VLOOKUP($A22,'Prime Salariés T4 2026'!$A$4:$H$28,7,FALSE))</f>
        <v/>
      </c>
      <c r="J22" s="90">
        <f t="shared" si="2"/>
        <v>1445</v>
      </c>
      <c r="K22" s="90">
        <f t="shared" ref="K22:L22" si="32">B22+D22+F22+H22</f>
        <v>0</v>
      </c>
      <c r="L22" s="91">
        <f t="shared" si="32"/>
        <v>1445</v>
      </c>
      <c r="M22" s="92">
        <f>L23/J23</f>
        <v>0</v>
      </c>
      <c r="N22" s="44">
        <f>IF(L23&lt;500,0,IF(L23&lt;10000,INT(L23*$P$1/($N$1*0.7)),"formule a compléter"))</f>
        <v>0</v>
      </c>
      <c r="O22" s="93">
        <f>L23-N22*(N$1*0.7)/P$1</f>
        <v>0</v>
      </c>
      <c r="Q22" s="93">
        <f>O22+N22*$N$1/$P$1</f>
        <v>0</v>
      </c>
      <c r="S22" s="44"/>
    </row>
    <row r="23">
      <c r="A23" s="20" t="s">
        <v>215</v>
      </c>
      <c r="B23" s="94">
        <f>IF(ISNA(VLOOKUP($A23,'Prime Salariés T1 2026'!$A$3:$H$32,6,FALSE)),0,VLOOKUP($A23,'Prime Salariés T1 2026'!$A$3:$H$32,6,FALSE))</f>
        <v>600</v>
      </c>
      <c r="C23" s="94" t="str">
        <f>IF(ISNA(VLOOKUP($A23,'Prime Salariés T1 2026'!$A$3:$H$32,7,FALSE)),0,VLOOKUP($A23,'Prime Salariés T1 2026'!$A$3:$H$32,7,FALSE))</f>
        <v/>
      </c>
      <c r="D23" s="94">
        <f>IF(ISNA(VLOOKUP($A23,'Prime Salariés T2 2026'!$A$3:$G$22,6,FALSE)),0,VLOOKUP($A23,'Prime Salariés T2 2026'!$A$3:$G$22,6,FALSE))</f>
        <v>400</v>
      </c>
      <c r="E23" s="94" t="str">
        <f>IF(ISNA(VLOOKUP($A23,'Prime Salariés T2 2026'!$A$3:$G$22,7,FALSE)),0,VLOOKUP($A23,'Prime Salariés T2 2026'!$A$3:$G$22,7,FALSE))</f>
        <v/>
      </c>
      <c r="F23" s="94">
        <f>IF(ISNA(VLOOKUP($A23,'Prime Salariés T3 2026'!$A$4:$I$26,6,FALSE)),0,VLOOKUP($A23,'Prime Salariés T3 2026'!$A$4:$I$26,6,FALSE))</f>
        <v>0</v>
      </c>
      <c r="G23" s="94">
        <f>IF(ISNA(VLOOKUP($A23,'Prime Salariés T3 2026'!$A$4:$I$26,7,FALSE)),0,VLOOKUP($A23,'Prime Salariés T3 2026'!$A$4:$I$26,7,FALSE))</f>
        <v>0</v>
      </c>
      <c r="H23" s="94" t="str">
        <f>IF(ISNA(VLOOKUP($A23,'Prime Salariés T4 2026'!$A$4:$H$28,6,FALSE)),0,VLOOKUP($A23,'Prime Salariés T4 2026'!$A$4:$H$28,6,FALSE))</f>
        <v/>
      </c>
      <c r="I23" s="94" t="str">
        <f>IF(ISNA(VLOOKUP($A23,'Prime Salariés T4 2026'!$A$4:$H$28,7,FALSE)),0,VLOOKUP($A23,'Prime Salariés T4 2026'!$A$4:$H$28,7,FALSE))</f>
        <v/>
      </c>
      <c r="J23" s="90">
        <f t="shared" si="2"/>
        <v>1000</v>
      </c>
      <c r="K23" s="90">
        <f t="shared" ref="K23:L23" si="33">B23+D23+F23+H23</f>
        <v>1000</v>
      </c>
      <c r="L23" s="91">
        <f t="shared" si="33"/>
        <v>0</v>
      </c>
      <c r="M23" s="94">
        <f>IF(ISNA(VLOOKUP($A25,'Prime Salariés T1 2026'!$A$3:$H$32,6,FALSE)),0,VLOOKUP($A25,'Prime Salariés T1 2026'!$A$3:$H$32,6,FALSE))</f>
        <v>227</v>
      </c>
      <c r="N23" s="94" t="str">
        <f>IF(ISNA(VLOOKUP($A25,'Prime Salariés T1 2026'!$A$3:$H$32,7,FALSE)),0,VLOOKUP($A25,'Prime Salariés T1 2026'!$A$3:$H$32,7,FALSE))</f>
        <v/>
      </c>
      <c r="O23" s="94" t="str">
        <f>IF(ISNA(VLOOKUP($A25,'Prime Salariés T2 2026'!$A$3:$G$22,7,FALSE)),0,VLOOKUP($A25,'Prime Salariés T2 2026'!$A$3:$G$22,7,FALSE))</f>
        <v/>
      </c>
      <c r="P23" s="94" t="str">
        <f>IF(ISNA(VLOOKUP($A25,'Prime Salariés T2 2026'!$A$3:$G$22,8,FALSE)),0,VLOOKUP($A25,'Prime Salariés T2 2026'!$A$3:$G$22,8,FALSE))</f>
        <v>#REF!</v>
      </c>
      <c r="Q23" s="94"/>
      <c r="S23" s="44"/>
    </row>
    <row r="24">
      <c r="A24" s="20" t="s">
        <v>285</v>
      </c>
      <c r="B24" s="94">
        <f>IF(ISNA(VLOOKUP($A24,'Prime Salariés T1 2026'!$A$3:$H$32,6,FALSE)),0,VLOOKUP($A24,'Prime Salariés T1 2026'!$A$3:$H$32,6,FALSE))</f>
        <v>0</v>
      </c>
      <c r="C24" s="94">
        <f>IF(ISNA(VLOOKUP($A24,'Prime Salariés T1 2026'!$A$3:$H$32,7,FALSE)),0,VLOOKUP($A24,'Prime Salariés T1 2026'!$A$3:$H$32,7,FALSE))</f>
        <v>0</v>
      </c>
      <c r="D24" s="94">
        <f>IF(ISNA(VLOOKUP($A24,'Prime Salariés T2 2026'!$A$3:$G$22,6,FALSE)),0,VLOOKUP($A24,'Prime Salariés T2 2026'!$A$3:$G$22,6,FALSE))</f>
        <v>890.69</v>
      </c>
      <c r="E24" s="94" t="str">
        <f>IF(ISNA(VLOOKUP($A24,'Prime Salariés T2 2026'!$A$3:$G$22,7,FALSE)),0,VLOOKUP($A24,'Prime Salariés T2 2026'!$A$3:$G$22,7,FALSE))</f>
        <v/>
      </c>
      <c r="F24" s="94" t="str">
        <f>IF(ISNA(VLOOKUP($A24,'Prime Salariés T3 2026'!$A$4:$I$26,6,FALSE)),0,VLOOKUP($A24,'Prime Salariés T3 2026'!$A$4:$I$26,6,FALSE))</f>
        <v/>
      </c>
      <c r="G24" s="94" t="str">
        <f>IF(ISNA(VLOOKUP($A24,'Prime Salariés T3 2026'!$A$4:$I$26,7,FALSE)),0,VLOOKUP($A24,'Prime Salariés T3 2026'!$A$4:$I$26,7,FALSE))</f>
        <v/>
      </c>
      <c r="H24" s="94" t="str">
        <f>IF(ISNA(VLOOKUP($A24,'Prime Salariés T4 2026'!$A$4:$H$28,6,FALSE)),0,VLOOKUP($A24,'Prime Salariés T4 2026'!$A$4:$H$28,6,FALSE))</f>
        <v/>
      </c>
      <c r="I24" s="94" t="str">
        <f>IF(ISNA(VLOOKUP($A24,'Prime Salariés T4 2026'!$A$4:$H$28,7,FALSE)),0,VLOOKUP($A24,'Prime Salariés T4 2026'!$A$4:$H$28,7,FALSE))</f>
        <v/>
      </c>
      <c r="J24" s="90">
        <f t="shared" si="2"/>
        <v>890.69</v>
      </c>
      <c r="K24" s="90">
        <f t="shared" ref="K24:L24" si="34">B24+D24+F24+H24</f>
        <v>890.69</v>
      </c>
      <c r="L24" s="91">
        <f t="shared" si="34"/>
        <v>0</v>
      </c>
      <c r="M24" s="94"/>
      <c r="N24" s="94"/>
      <c r="O24" s="94"/>
      <c r="P24" s="94"/>
      <c r="Q24" s="94"/>
      <c r="S24" s="44"/>
    </row>
    <row r="25">
      <c r="A25" s="20" t="s">
        <v>88</v>
      </c>
      <c r="B25" s="94">
        <f>IF(ISNA(VLOOKUP($A25,'Prime Salariés T1 2026'!$A$3:$H$32,6,FALSE)),0,VLOOKUP($A25,'Prime Salariés T1 2026'!$A$3:$H$32,6,FALSE))</f>
        <v>227</v>
      </c>
      <c r="C25" s="94" t="str">
        <f>IF(ISNA(VLOOKUP($A25,'Prime Salariés T1 2026'!$A$3:$H$32,7,FALSE)),0,VLOOKUP($A25,'Prime Salariés T1 2026'!$A$3:$H$32,7,FALSE))</f>
        <v/>
      </c>
      <c r="D25" s="94">
        <f>IF(ISNA(VLOOKUP($A25,'Prime Salariés T2 2026'!$A$3:$G$22,6,FALSE)),0,VLOOKUP($A25,'Prime Salariés T2 2026'!$A$3:$G$22,6,FALSE))</f>
        <v>138</v>
      </c>
      <c r="E25" s="94" t="str">
        <f>IF(ISNA(VLOOKUP($A25,'Prime Salariés T2 2026'!$A$3:$G$22,7,FALSE)),0,VLOOKUP($A25,'Prime Salariés T2 2026'!$A$3:$G$22,7,FALSE))</f>
        <v/>
      </c>
      <c r="F25" s="94" t="str">
        <f>IF(ISNA(VLOOKUP($A25,'Prime Salariés T3 2026'!$A$4:$I$26,6,FALSE)),0,VLOOKUP($A25,'Prime Salariés T3 2026'!$A$4:$I$26,6,FALSE))</f>
        <v/>
      </c>
      <c r="G25" s="94" t="str">
        <f>IF(ISNA(VLOOKUP($A25,'Prime Salariés T3 2026'!$A$4:$I$26,7,FALSE)),0,VLOOKUP($A25,'Prime Salariés T3 2026'!$A$4:$I$26,7,FALSE))</f>
        <v/>
      </c>
      <c r="H25" s="94" t="str">
        <f>IF(ISNA(VLOOKUP($A25,'Prime Salariés T4 2026'!$A$4:$H$28,6,FALSE)),0,VLOOKUP($A25,'Prime Salariés T4 2026'!$A$4:$H$28,6,FALSE))</f>
        <v/>
      </c>
      <c r="I25" s="94" t="str">
        <f>IF(ISNA(VLOOKUP($A25,'Prime Salariés T4 2026'!$A$4:$H$28,7,FALSE)),0,VLOOKUP($A25,'Prime Salariés T4 2026'!$A$4:$H$28,7,FALSE))</f>
        <v/>
      </c>
      <c r="J25" s="90">
        <f t="shared" si="2"/>
        <v>365</v>
      </c>
      <c r="K25" s="90">
        <f t="shared" ref="K25:L25" si="35">B25+D25+F25+H25</f>
        <v>365</v>
      </c>
      <c r="L25" s="91">
        <f t="shared" si="35"/>
        <v>0</v>
      </c>
      <c r="M25" s="94">
        <f>IF(ISNA(VLOOKUP($A26,'Prime Salariés T1 2026'!$A$3:$H$32,6,FALSE)),0,VLOOKUP($A26,'Prime Salariés T1 2026'!$A$3:$H$32,6,FALSE))</f>
        <v>474</v>
      </c>
      <c r="N25" s="94" t="str">
        <f>IF(ISNA(VLOOKUP($A26,'Prime Salariés T1 2026'!$A$3:$H$32,7,FALSE)),0,VLOOKUP($A26,'Prime Salariés T1 2026'!$A$3:$H$32,7,FALSE))</f>
        <v/>
      </c>
      <c r="O25" s="94" t="str">
        <f>IF(ISNA(VLOOKUP($A26,'Prime Salariés T2 2026'!$A$3:$G$22,7,FALSE)),0,VLOOKUP($A26,'Prime Salariés T2 2026'!$A$3:$G$22,7,FALSE))</f>
        <v/>
      </c>
      <c r="P25" s="94" t="str">
        <f>IF(ISNA(VLOOKUP($A26,'Prime Salariés T2 2026'!$A$3:$G$22,8,FALSE)),0,VLOOKUP($A26,'Prime Salariés T2 2026'!$A$3:$G$22,8,FALSE))</f>
        <v>#REF!</v>
      </c>
      <c r="Q25" s="94"/>
      <c r="S25" s="44"/>
    </row>
    <row r="26">
      <c r="A26" s="20" t="s">
        <v>261</v>
      </c>
      <c r="B26" s="94">
        <f>IF(ISNA(VLOOKUP($A26,'Prime Salariés T1 2026'!$A$3:$H$32,6,FALSE)),0,VLOOKUP($A26,'Prime Salariés T1 2026'!$A$3:$H$32,6,FALSE))</f>
        <v>474</v>
      </c>
      <c r="C26" s="94" t="str">
        <f>IF(ISNA(VLOOKUP($A26,'Prime Salariés T1 2026'!$A$3:$H$32,7,FALSE)),0,VLOOKUP($A26,'Prime Salariés T1 2026'!$A$3:$H$32,7,FALSE))</f>
        <v/>
      </c>
      <c r="D26" s="94">
        <f>IF(ISNA(VLOOKUP($A26,'Prime Salariés T2 2026'!$A$3:$G$22,6,FALSE)),0,VLOOKUP($A26,'Prime Salariés T2 2026'!$A$3:$G$22,6,FALSE))</f>
        <v>596</v>
      </c>
      <c r="E26" s="94" t="str">
        <f>IF(ISNA(VLOOKUP($A26,'Prime Salariés T2 2026'!$A$3:$G$22,7,FALSE)),0,VLOOKUP($A26,'Prime Salariés T2 2026'!$A$3:$G$22,7,FALSE))</f>
        <v/>
      </c>
      <c r="F26" s="94">
        <f>IF(ISNA(VLOOKUP($A26,'Prime Salariés T3 2026'!$A$4:$I$26,6,FALSE)),0,VLOOKUP($A26,'Prime Salariés T3 2026'!$A$4:$I$26,6,FALSE))</f>
        <v>0</v>
      </c>
      <c r="G26" s="94">
        <f>IF(ISNA(VLOOKUP($A26,'Prime Salariés T3 2026'!$A$4:$I$26,7,FALSE)),0,VLOOKUP($A26,'Prime Salariés T3 2026'!$A$4:$I$26,7,FALSE))</f>
        <v>0</v>
      </c>
      <c r="H26" s="94" t="str">
        <f>IF(ISNA(VLOOKUP($A26,'Prime Salariés T4 2026'!$A$4:$H$28,6,FALSE)),0,VLOOKUP($A26,'Prime Salariés T4 2026'!$A$4:$H$28,6,FALSE))</f>
        <v/>
      </c>
      <c r="I26" s="94" t="str">
        <f>IF(ISNA(VLOOKUP($A26,'Prime Salariés T4 2026'!$A$4:$H$28,7,FALSE)),0,VLOOKUP($A26,'Prime Salariés T4 2026'!$A$4:$H$28,7,FALSE))</f>
        <v/>
      </c>
      <c r="J26" s="90">
        <f t="shared" si="2"/>
        <v>1070</v>
      </c>
      <c r="K26" s="90">
        <f t="shared" ref="K26:L26" si="36">B26+D26+F26+H26</f>
        <v>1070</v>
      </c>
      <c r="L26" s="91">
        <f t="shared" si="36"/>
        <v>0</v>
      </c>
      <c r="M26" s="92"/>
      <c r="N26" s="44"/>
      <c r="O26" s="93"/>
      <c r="S26" s="44"/>
    </row>
    <row r="27">
      <c r="A27" s="20" t="s">
        <v>269</v>
      </c>
      <c r="B27" s="94">
        <f>IF(ISNA(VLOOKUP($A27,'Prime Salariés T1 2026'!$A$3:$H$32,6,FALSE)),0,VLOOKUP($A27,'Prime Salariés T1 2026'!$A$3:$H$32,6,FALSE))</f>
        <v>323</v>
      </c>
      <c r="C27" s="94" t="str">
        <f>IF(ISNA(VLOOKUP($A27,'Prime Salariés T1 2026'!$A$3:$H$32,7,FALSE)),0,VLOOKUP($A27,'Prime Salariés T1 2026'!$A$3:$H$32,7,FALSE))</f>
        <v/>
      </c>
      <c r="D27" s="94">
        <f>IF(ISNA(VLOOKUP($A27,'Prime Salariés T2 2026'!$A$3:$G$22,6,FALSE)),0,VLOOKUP($A27,'Prime Salariés T2 2026'!$A$3:$G$22,6,FALSE))</f>
        <v>279</v>
      </c>
      <c r="E27" s="94" t="str">
        <f>IF(ISNA(VLOOKUP($A27,'Prime Salariés T2 2026'!$A$3:$G$22,7,FALSE)),0,VLOOKUP($A27,'Prime Salariés T2 2026'!$A$3:$G$22,7,FALSE))</f>
        <v/>
      </c>
      <c r="F27" s="94" t="str">
        <f>IF(ISNA(VLOOKUP($A27,'Prime Salariés T3 2026'!$A$4:$I$26,6,FALSE)),0,VLOOKUP($A27,'Prime Salariés T3 2026'!$A$4:$I$26,6,FALSE))</f>
        <v/>
      </c>
      <c r="G27" s="94" t="str">
        <f>IF(ISNA(VLOOKUP($A27,'Prime Salariés T3 2026'!$A$4:$I$26,7,FALSE)),0,VLOOKUP($A27,'Prime Salariés T3 2026'!$A$4:$I$26,7,FALSE))</f>
        <v/>
      </c>
      <c r="H27" s="94" t="str">
        <f>IF(ISNA(VLOOKUP($A27,'Prime Salariés T4 2026'!$A$4:$H$28,6,FALSE)),0,VLOOKUP($A27,'Prime Salariés T4 2026'!$A$4:$H$28,6,FALSE))</f>
        <v/>
      </c>
      <c r="I27" s="94" t="str">
        <f>IF(ISNA(VLOOKUP($A27,'Prime Salariés T4 2026'!$A$4:$H$28,7,FALSE)),0,VLOOKUP($A27,'Prime Salariés T4 2026'!$A$4:$H$28,7,FALSE))</f>
        <v/>
      </c>
      <c r="J27" s="90">
        <f t="shared" si="2"/>
        <v>602</v>
      </c>
      <c r="K27" s="90">
        <f t="shared" ref="K27:L27" si="37">B27+D27+F27+H27</f>
        <v>602</v>
      </c>
      <c r="L27" s="91">
        <f t="shared" si="37"/>
        <v>0</v>
      </c>
      <c r="M27" s="92"/>
      <c r="N27" s="44">
        <f>IF(L28&lt;500,0,IF(L28&lt;10000,INT(L28*$P$1/($N$1*0.7)),"formule a compléter"))</f>
        <v>14</v>
      </c>
      <c r="O27" s="93">
        <f>L28-N27*(N$1*0.7)/P$1</f>
        <v>32.98086957</v>
      </c>
      <c r="S27" s="44"/>
    </row>
    <row r="28">
      <c r="A28" s="20" t="s">
        <v>271</v>
      </c>
      <c r="B28" s="94" t="str">
        <f>IF(ISNA(VLOOKUP($A28,'Prime Salariés T1 2026'!$A$3:$H$32,6,FALSE)),0,VLOOKUP($A28,'Prime Salariés T1 2026'!$A$3:$H$32,6,FALSE))</f>
        <v/>
      </c>
      <c r="C28" s="94">
        <f>IF(ISNA(VLOOKUP($A28,'Prime Salariés T1 2026'!$A$3:$H$32,7,FALSE)),0,VLOOKUP($A28,'Prime Salariés T1 2026'!$A$3:$H$32,7,FALSE))</f>
        <v>505</v>
      </c>
      <c r="D28" s="94">
        <f>IF(ISNA(VLOOKUP($A28,'Prime Salariés T2 2026'!$A$3:$G$22,6,FALSE)),0,VLOOKUP($A28,'Prime Salariés T2 2026'!$A$3:$G$22,6,FALSE))</f>
        <v>437</v>
      </c>
      <c r="E28" s="94" t="str">
        <f>IF(ISNA(VLOOKUP($A28,'Prime Salariés T2 2026'!$A$3:$G$22,7,FALSE)),0,VLOOKUP($A28,'Prime Salariés T2 2026'!$A$3:$G$22,7,FALSE))</f>
        <v/>
      </c>
      <c r="F28" s="94" t="str">
        <f>IF(ISNA(VLOOKUP($A28,'Prime Salariés T3 2026'!$A$4:$I$26,6,FALSE)),0,VLOOKUP($A28,'Prime Salariés T3 2026'!$A$4:$I$26,6,FALSE))</f>
        <v/>
      </c>
      <c r="G28" s="94" t="str">
        <f>IF(ISNA(VLOOKUP($A28,'Prime Salariés T3 2026'!$A$4:$I$26,7,FALSE)),0,VLOOKUP($A28,'Prime Salariés T3 2026'!$A$4:$I$26,7,FALSE))</f>
        <v/>
      </c>
      <c r="H28" s="94" t="str">
        <f>IF(ISNA(VLOOKUP($A28,'Prime Salariés T4 2026'!$A$4:$H$28,6,FALSE)),0,VLOOKUP($A28,'Prime Salariés T4 2026'!$A$4:$H$28,6,FALSE))</f>
        <v/>
      </c>
      <c r="I28" s="94" t="str">
        <f>IF(ISNA(VLOOKUP($A28,'Prime Salariés T4 2026'!$A$4:$H$28,7,FALSE)),0,VLOOKUP($A28,'Prime Salariés T4 2026'!$A$4:$H$28,7,FALSE))</f>
        <v/>
      </c>
      <c r="J28" s="90">
        <f t="shared" si="2"/>
        <v>942</v>
      </c>
      <c r="K28" s="90">
        <f t="shared" ref="K28:L28" si="38">B28+D28+F28+H28</f>
        <v>437</v>
      </c>
      <c r="L28" s="91">
        <f t="shared" si="38"/>
        <v>505</v>
      </c>
      <c r="M28" s="92"/>
      <c r="N28" s="44"/>
      <c r="O28" s="93"/>
      <c r="S28" s="44"/>
    </row>
    <row r="29">
      <c r="A29" s="20" t="s">
        <v>313</v>
      </c>
      <c r="B29" s="94" t="str">
        <f>IF(ISNA(VLOOKUP($A29,'Prime Salariés T1 2026'!$A$3:$H$32,6,FALSE)),0,VLOOKUP($A29,'Prime Salariés T1 2026'!$A$3:$H$32,6,FALSE))</f>
        <v/>
      </c>
      <c r="C29" s="94">
        <f>IF(ISNA(VLOOKUP($A29,'Prime Salariés T1 2026'!$A$3:$H$32,7,FALSE)),0,VLOOKUP($A29,'Prime Salariés T1 2026'!$A$3:$H$32,7,FALSE))</f>
        <v>264</v>
      </c>
      <c r="D29" s="94" t="str">
        <f>IF(ISNA(VLOOKUP($A29,'Prime Salariés T2 2026'!$A$3:$G$22,6,FALSE)),0,VLOOKUP($A29,'Prime Salariés T2 2026'!$A$3:$G$22,6,FALSE))</f>
        <v/>
      </c>
      <c r="E29" s="94">
        <f>IF(ISNA(VLOOKUP($A29,'Prime Salariés T2 2026'!$A$3:$G$22,7,FALSE)),0,VLOOKUP($A29,'Prime Salariés T2 2026'!$A$3:$G$22,7,FALSE))</f>
        <v>522</v>
      </c>
      <c r="F29" s="94" t="str">
        <f>IF(ISNA(VLOOKUP($A29,'Prime Salariés T3 2026'!$A$4:$I$26,6,FALSE)),0,VLOOKUP($A29,'Prime Salariés T3 2026'!$A$4:$I$26,6,FALSE))</f>
        <v/>
      </c>
      <c r="G29" s="94" t="str">
        <f>IF(ISNA(VLOOKUP($A29,'Prime Salariés T3 2026'!$A$4:$I$26,7,FALSE)),0,VLOOKUP($A29,'Prime Salariés T3 2026'!$A$4:$I$26,7,FALSE))</f>
        <v/>
      </c>
      <c r="H29" s="94" t="str">
        <f>IF(ISNA(VLOOKUP($A29,'Prime Salariés T4 2026'!$A$4:$H$28,6,FALSE)),0,VLOOKUP($A29,'Prime Salariés T4 2026'!$A$4:$H$28,6,FALSE))</f>
        <v/>
      </c>
      <c r="I29" s="94" t="str">
        <f>IF(ISNA(VLOOKUP($A29,'Prime Salariés T4 2026'!$A$4:$H$28,7,FALSE)),0,VLOOKUP($A29,'Prime Salariés T4 2026'!$A$4:$H$28,7,FALSE))</f>
        <v/>
      </c>
      <c r="J29" s="90">
        <f t="shared" si="2"/>
        <v>786</v>
      </c>
      <c r="K29" s="90">
        <f t="shared" ref="K29:L29" si="39">B29+D29+F29+H29</f>
        <v>0</v>
      </c>
      <c r="L29" s="91">
        <f t="shared" si="39"/>
        <v>786</v>
      </c>
      <c r="M29" s="92"/>
      <c r="N29" s="44"/>
      <c r="O29" s="93"/>
    </row>
    <row r="30">
      <c r="A30" s="73" t="s">
        <v>11</v>
      </c>
      <c r="B30" s="101">
        <f t="shared" ref="B30:L30" si="40">SUM(B6:B29)</f>
        <v>7179</v>
      </c>
      <c r="C30" s="101">
        <f t="shared" si="40"/>
        <v>11035.23</v>
      </c>
      <c r="D30" s="101">
        <f t="shared" si="40"/>
        <v>7638.69</v>
      </c>
      <c r="E30" s="101">
        <f t="shared" si="40"/>
        <v>9304</v>
      </c>
      <c r="F30" s="101">
        <f t="shared" si="40"/>
        <v>0</v>
      </c>
      <c r="G30" s="101">
        <f t="shared" si="40"/>
        <v>0</v>
      </c>
      <c r="H30" s="101">
        <f t="shared" si="40"/>
        <v>0</v>
      </c>
      <c r="I30" s="101">
        <f t="shared" si="40"/>
        <v>0</v>
      </c>
      <c r="J30" s="102">
        <f t="shared" si="40"/>
        <v>35156.92</v>
      </c>
      <c r="K30" s="102">
        <f t="shared" si="40"/>
        <v>14817.69</v>
      </c>
      <c r="L30" s="102">
        <f t="shared" si="40"/>
        <v>20339.23</v>
      </c>
      <c r="M30" s="80"/>
    </row>
    <row r="31">
      <c r="M31" s="80"/>
    </row>
    <row r="32">
      <c r="M32" s="80"/>
    </row>
    <row r="33">
      <c r="M33" s="80"/>
    </row>
    <row r="34">
      <c r="I34" s="103"/>
      <c r="M34" s="80"/>
    </row>
    <row r="35">
      <c r="I35" s="103"/>
      <c r="M35" s="104"/>
    </row>
    <row r="36">
      <c r="M36" s="80"/>
    </row>
    <row r="37">
      <c r="M37" s="80"/>
    </row>
    <row r="38">
      <c r="M38" s="80"/>
    </row>
    <row r="39">
      <c r="M39" s="80"/>
    </row>
    <row r="40">
      <c r="M40" s="80"/>
    </row>
    <row r="41">
      <c r="M41" s="80"/>
    </row>
    <row r="42">
      <c r="M42" s="80"/>
    </row>
    <row r="43">
      <c r="M43" s="80"/>
    </row>
    <row r="44">
      <c r="M44" s="80"/>
    </row>
    <row r="45">
      <c r="M45" s="80"/>
    </row>
    <row r="46">
      <c r="M46" s="80"/>
    </row>
    <row r="47">
      <c r="M47" s="80"/>
    </row>
    <row r="48">
      <c r="M48" s="80"/>
    </row>
    <row r="49">
      <c r="M49" s="80"/>
    </row>
    <row r="50">
      <c r="M50" s="80"/>
    </row>
    <row r="51">
      <c r="M51" s="80"/>
    </row>
    <row r="52">
      <c r="M52" s="80"/>
    </row>
    <row r="53">
      <c r="M53" s="80"/>
    </row>
    <row r="54">
      <c r="M54" s="80"/>
    </row>
    <row r="55">
      <c r="M55" s="80"/>
    </row>
    <row r="56">
      <c r="M56" s="80"/>
    </row>
    <row r="57">
      <c r="M57" s="80"/>
    </row>
    <row r="58">
      <c r="M58" s="80"/>
    </row>
    <row r="59">
      <c r="M59" s="80"/>
    </row>
    <row r="60">
      <c r="M60" s="80"/>
    </row>
    <row r="61">
      <c r="M61" s="80"/>
    </row>
    <row r="62">
      <c r="M62" s="80"/>
    </row>
    <row r="63">
      <c r="M63" s="80"/>
    </row>
    <row r="64">
      <c r="M64" s="80"/>
    </row>
    <row r="65">
      <c r="M65" s="80"/>
    </row>
    <row r="66">
      <c r="M66" s="80"/>
    </row>
    <row r="67">
      <c r="M67" s="80"/>
    </row>
    <row r="68">
      <c r="M68" s="80"/>
    </row>
    <row r="69">
      <c r="M69" s="80"/>
    </row>
    <row r="70">
      <c r="M70" s="80"/>
    </row>
    <row r="71">
      <c r="M71" s="80"/>
    </row>
    <row r="72">
      <c r="M72" s="80"/>
    </row>
    <row r="73">
      <c r="M73" s="80"/>
    </row>
    <row r="74">
      <c r="M74" s="80"/>
    </row>
    <row r="75">
      <c r="M75" s="80"/>
    </row>
    <row r="76">
      <c r="M76" s="80"/>
    </row>
    <row r="77">
      <c r="M77" s="80"/>
    </row>
    <row r="78">
      <c r="M78" s="80"/>
    </row>
    <row r="79">
      <c r="M79" s="80"/>
    </row>
    <row r="80">
      <c r="M80" s="80"/>
    </row>
    <row r="81">
      <c r="M81" s="80"/>
    </row>
    <row r="82">
      <c r="M82" s="80"/>
    </row>
    <row r="83">
      <c r="M83" s="80"/>
    </row>
    <row r="84">
      <c r="M84" s="80"/>
    </row>
    <row r="85">
      <c r="M85" s="80"/>
    </row>
    <row r="86">
      <c r="M86" s="80"/>
    </row>
    <row r="87">
      <c r="M87" s="80"/>
    </row>
    <row r="88">
      <c r="M88" s="80"/>
    </row>
    <row r="89">
      <c r="M89" s="80"/>
    </row>
    <row r="90">
      <c r="M90" s="80"/>
    </row>
    <row r="91">
      <c r="M91" s="80"/>
    </row>
    <row r="92">
      <c r="M92" s="80"/>
    </row>
    <row r="93">
      <c r="M93" s="80"/>
    </row>
    <row r="94">
      <c r="M94" s="80"/>
    </row>
    <row r="95">
      <c r="M95" s="80"/>
    </row>
    <row r="96">
      <c r="M96" s="80"/>
    </row>
    <row r="97">
      <c r="M97" s="80"/>
    </row>
    <row r="98">
      <c r="M98" s="80"/>
    </row>
    <row r="99">
      <c r="M99" s="80"/>
    </row>
    <row r="100">
      <c r="M100" s="80"/>
    </row>
    <row r="101">
      <c r="M101" s="80"/>
    </row>
    <row r="102">
      <c r="M102" s="80"/>
    </row>
    <row r="103">
      <c r="M103" s="80"/>
    </row>
    <row r="104">
      <c r="M104" s="80"/>
    </row>
    <row r="105">
      <c r="M105" s="80"/>
    </row>
    <row r="106">
      <c r="M106" s="80"/>
    </row>
    <row r="107">
      <c r="M107" s="80"/>
    </row>
    <row r="108">
      <c r="M108" s="80"/>
    </row>
    <row r="109">
      <c r="M109" s="80"/>
    </row>
    <row r="110">
      <c r="M110" s="80"/>
    </row>
    <row r="111">
      <c r="M111" s="80"/>
    </row>
    <row r="112">
      <c r="M112" s="80"/>
    </row>
    <row r="113">
      <c r="M113" s="80"/>
    </row>
    <row r="114">
      <c r="M114" s="80"/>
    </row>
    <row r="115">
      <c r="M115" s="80"/>
    </row>
    <row r="116">
      <c r="M116" s="80"/>
    </row>
    <row r="117">
      <c r="M117" s="80"/>
    </row>
    <row r="118">
      <c r="M118" s="80"/>
    </row>
    <row r="119">
      <c r="M119" s="80"/>
    </row>
    <row r="120">
      <c r="M120" s="80"/>
    </row>
    <row r="121">
      <c r="M121" s="80"/>
    </row>
    <row r="122">
      <c r="M122" s="80"/>
    </row>
    <row r="123">
      <c r="M123" s="80"/>
    </row>
    <row r="124">
      <c r="M124" s="80"/>
    </row>
    <row r="125">
      <c r="M125" s="80"/>
    </row>
    <row r="126">
      <c r="M126" s="80"/>
    </row>
    <row r="127">
      <c r="M127" s="80"/>
    </row>
    <row r="128">
      <c r="M128" s="80"/>
    </row>
    <row r="129">
      <c r="M129" s="80"/>
    </row>
    <row r="130">
      <c r="M130" s="80"/>
    </row>
    <row r="131">
      <c r="M131" s="80"/>
    </row>
    <row r="132">
      <c r="M132" s="80"/>
    </row>
    <row r="133">
      <c r="M133" s="80"/>
    </row>
    <row r="134">
      <c r="M134" s="80"/>
    </row>
    <row r="135">
      <c r="M135" s="80"/>
    </row>
    <row r="136">
      <c r="M136" s="80"/>
    </row>
    <row r="137">
      <c r="M137" s="80"/>
    </row>
    <row r="138">
      <c r="M138" s="80"/>
    </row>
    <row r="139">
      <c r="M139" s="80"/>
    </row>
    <row r="140">
      <c r="M140" s="80"/>
    </row>
    <row r="141">
      <c r="M141" s="80"/>
    </row>
    <row r="142">
      <c r="M142" s="80"/>
    </row>
    <row r="143">
      <c r="M143" s="80"/>
    </row>
    <row r="144">
      <c r="M144" s="80"/>
    </row>
    <row r="145">
      <c r="M145" s="80"/>
    </row>
    <row r="146">
      <c r="M146" s="80"/>
    </row>
    <row r="147">
      <c r="M147" s="80"/>
    </row>
    <row r="148">
      <c r="M148" s="80"/>
    </row>
    <row r="149">
      <c r="M149" s="80"/>
    </row>
    <row r="150">
      <c r="M150" s="80"/>
    </row>
    <row r="151">
      <c r="M151" s="80"/>
    </row>
    <row r="152">
      <c r="M152" s="80"/>
    </row>
    <row r="153">
      <c r="M153" s="80"/>
    </row>
    <row r="154">
      <c r="M154" s="80"/>
    </row>
    <row r="155">
      <c r="M155" s="80"/>
    </row>
    <row r="156">
      <c r="M156" s="80"/>
    </row>
    <row r="157">
      <c r="M157" s="80"/>
    </row>
    <row r="158">
      <c r="M158" s="80"/>
    </row>
    <row r="159">
      <c r="M159" s="80"/>
    </row>
    <row r="160">
      <c r="M160" s="80"/>
    </row>
    <row r="161">
      <c r="M161" s="80"/>
    </row>
    <row r="162">
      <c r="M162" s="80"/>
    </row>
    <row r="163">
      <c r="M163" s="80"/>
    </row>
    <row r="164">
      <c r="M164" s="80"/>
    </row>
    <row r="165">
      <c r="M165" s="80"/>
    </row>
    <row r="166">
      <c r="M166" s="80"/>
    </row>
    <row r="167">
      <c r="M167" s="80"/>
    </row>
    <row r="168">
      <c r="M168" s="80"/>
    </row>
    <row r="169">
      <c r="M169" s="80"/>
    </row>
    <row r="170">
      <c r="M170" s="80"/>
    </row>
    <row r="171">
      <c r="M171" s="80"/>
    </row>
    <row r="172">
      <c r="M172" s="80"/>
    </row>
    <row r="173">
      <c r="M173" s="80"/>
    </row>
    <row r="174">
      <c r="M174" s="80"/>
    </row>
    <row r="175">
      <c r="M175" s="80"/>
    </row>
    <row r="176">
      <c r="M176" s="80"/>
    </row>
    <row r="177">
      <c r="M177" s="80"/>
    </row>
    <row r="178">
      <c r="M178" s="80"/>
    </row>
    <row r="179">
      <c r="M179" s="80"/>
    </row>
    <row r="180">
      <c r="M180" s="80"/>
    </row>
    <row r="181">
      <c r="M181" s="80"/>
    </row>
    <row r="182">
      <c r="M182" s="80"/>
    </row>
    <row r="183">
      <c r="M183" s="80"/>
    </row>
    <row r="184">
      <c r="M184" s="80"/>
    </row>
    <row r="185">
      <c r="M185" s="80"/>
    </row>
    <row r="186">
      <c r="M186" s="80"/>
    </row>
    <row r="187">
      <c r="M187" s="80"/>
    </row>
    <row r="188">
      <c r="M188" s="80"/>
    </row>
    <row r="189">
      <c r="M189" s="80"/>
    </row>
    <row r="190">
      <c r="M190" s="80"/>
    </row>
    <row r="191">
      <c r="M191" s="80"/>
    </row>
    <row r="192">
      <c r="M192" s="80"/>
    </row>
    <row r="193">
      <c r="M193" s="80"/>
    </row>
    <row r="194">
      <c r="M194" s="80"/>
    </row>
    <row r="195">
      <c r="M195" s="80"/>
    </row>
    <row r="196">
      <c r="M196" s="80"/>
    </row>
    <row r="197">
      <c r="M197" s="80"/>
    </row>
    <row r="198">
      <c r="M198" s="80"/>
    </row>
    <row r="199">
      <c r="M199" s="80"/>
    </row>
    <row r="200">
      <c r="M200" s="80"/>
    </row>
    <row r="201">
      <c r="M201" s="80"/>
    </row>
    <row r="202">
      <c r="M202" s="80"/>
    </row>
    <row r="203">
      <c r="M203" s="80"/>
    </row>
    <row r="204">
      <c r="M204" s="80"/>
    </row>
    <row r="205">
      <c r="M205" s="80"/>
    </row>
    <row r="206">
      <c r="M206" s="80"/>
    </row>
    <row r="207">
      <c r="M207" s="80"/>
    </row>
    <row r="208">
      <c r="M208" s="80"/>
    </row>
    <row r="209">
      <c r="M209" s="80"/>
    </row>
    <row r="210">
      <c r="M210" s="80"/>
    </row>
    <row r="211">
      <c r="M211" s="80"/>
    </row>
    <row r="212">
      <c r="M212" s="80"/>
    </row>
    <row r="213">
      <c r="M213" s="80"/>
    </row>
    <row r="214">
      <c r="M214" s="80"/>
    </row>
    <row r="215">
      <c r="M215" s="80"/>
    </row>
    <row r="216">
      <c r="M216" s="80"/>
    </row>
    <row r="217">
      <c r="M217" s="80"/>
    </row>
    <row r="218">
      <c r="M218" s="80"/>
    </row>
    <row r="219">
      <c r="M219" s="80"/>
    </row>
    <row r="220">
      <c r="M220" s="80"/>
    </row>
    <row r="221">
      <c r="M221" s="80"/>
    </row>
    <row r="222">
      <c r="M222" s="80"/>
    </row>
    <row r="223">
      <c r="M223" s="80"/>
    </row>
    <row r="224">
      <c r="M224" s="80"/>
    </row>
    <row r="225">
      <c r="M225" s="80"/>
    </row>
    <row r="226">
      <c r="M226" s="80"/>
    </row>
    <row r="227">
      <c r="M227" s="80"/>
    </row>
    <row r="228">
      <c r="M228" s="80"/>
    </row>
    <row r="229">
      <c r="M229" s="80"/>
    </row>
    <row r="230">
      <c r="M230" s="80"/>
    </row>
    <row r="231">
      <c r="M231" s="80"/>
    </row>
    <row r="232">
      <c r="M232" s="80"/>
    </row>
    <row r="233">
      <c r="M233" s="80"/>
    </row>
    <row r="234">
      <c r="M234" s="80"/>
    </row>
    <row r="235">
      <c r="M235" s="80"/>
    </row>
    <row r="236">
      <c r="M236" s="80"/>
    </row>
    <row r="237">
      <c r="M237" s="80"/>
    </row>
    <row r="238">
      <c r="M238" s="80"/>
    </row>
    <row r="239">
      <c r="M239" s="80"/>
    </row>
    <row r="240">
      <c r="M240" s="80"/>
    </row>
    <row r="241">
      <c r="M241" s="80"/>
    </row>
    <row r="242">
      <c r="M242" s="80"/>
    </row>
    <row r="243">
      <c r="M243" s="80"/>
    </row>
    <row r="244">
      <c r="M244" s="80"/>
    </row>
    <row r="245">
      <c r="M245" s="80"/>
    </row>
    <row r="246">
      <c r="M246" s="80"/>
    </row>
    <row r="247">
      <c r="M247" s="80"/>
    </row>
    <row r="248">
      <c r="M248" s="80"/>
    </row>
    <row r="249">
      <c r="M249" s="80"/>
    </row>
    <row r="250">
      <c r="M250" s="80"/>
    </row>
    <row r="251">
      <c r="M251" s="80"/>
    </row>
    <row r="252">
      <c r="M252" s="80"/>
    </row>
    <row r="253">
      <c r="M253" s="80"/>
    </row>
    <row r="254">
      <c r="M254" s="80"/>
    </row>
    <row r="255">
      <c r="M255" s="80"/>
    </row>
    <row r="256">
      <c r="M256" s="80"/>
    </row>
    <row r="257">
      <c r="M257" s="80"/>
    </row>
    <row r="258">
      <c r="M258" s="80"/>
    </row>
    <row r="259">
      <c r="M259" s="80"/>
    </row>
    <row r="260">
      <c r="M260" s="80"/>
    </row>
    <row r="261">
      <c r="M261" s="80"/>
    </row>
    <row r="262">
      <c r="M262" s="80"/>
    </row>
    <row r="263">
      <c r="M263" s="80"/>
    </row>
    <row r="264">
      <c r="M264" s="80"/>
    </row>
    <row r="265">
      <c r="M265" s="80"/>
    </row>
    <row r="266">
      <c r="M266" s="80"/>
    </row>
    <row r="267">
      <c r="M267" s="80"/>
    </row>
    <row r="268">
      <c r="M268" s="80"/>
    </row>
    <row r="269">
      <c r="M269" s="80"/>
    </row>
    <row r="270">
      <c r="M270" s="80"/>
    </row>
    <row r="271">
      <c r="M271" s="80"/>
    </row>
    <row r="272">
      <c r="M272" s="80"/>
    </row>
    <row r="273">
      <c r="M273" s="80"/>
    </row>
    <row r="274">
      <c r="M274" s="80"/>
    </row>
    <row r="275">
      <c r="M275" s="80"/>
    </row>
    <row r="276">
      <c r="M276" s="80"/>
    </row>
    <row r="277">
      <c r="M277" s="80"/>
    </row>
    <row r="278">
      <c r="M278" s="80"/>
    </row>
    <row r="279">
      <c r="M279" s="80"/>
    </row>
    <row r="280">
      <c r="M280" s="80"/>
    </row>
    <row r="281">
      <c r="M281" s="80"/>
    </row>
    <row r="282">
      <c r="M282" s="80"/>
    </row>
    <row r="283">
      <c r="M283" s="80"/>
    </row>
    <row r="284">
      <c r="M284" s="80"/>
    </row>
    <row r="285">
      <c r="M285" s="80"/>
    </row>
    <row r="286">
      <c r="M286" s="80"/>
    </row>
    <row r="287">
      <c r="M287" s="80"/>
    </row>
    <row r="288">
      <c r="M288" s="80"/>
    </row>
    <row r="289">
      <c r="M289" s="80"/>
    </row>
    <row r="290">
      <c r="M290" s="80"/>
    </row>
    <row r="291">
      <c r="M291" s="80"/>
    </row>
    <row r="292">
      <c r="M292" s="80"/>
    </row>
    <row r="293">
      <c r="M293" s="80"/>
    </row>
    <row r="294">
      <c r="M294" s="80"/>
    </row>
    <row r="295">
      <c r="M295" s="80"/>
    </row>
    <row r="296">
      <c r="M296" s="80"/>
    </row>
    <row r="297">
      <c r="M297" s="80"/>
    </row>
    <row r="298">
      <c r="M298" s="80"/>
    </row>
    <row r="299">
      <c r="M299" s="80"/>
    </row>
    <row r="300">
      <c r="M300" s="80"/>
    </row>
    <row r="301">
      <c r="M301" s="80"/>
    </row>
    <row r="302">
      <c r="M302" s="80"/>
    </row>
    <row r="303">
      <c r="M303" s="80"/>
    </row>
    <row r="304">
      <c r="M304" s="80"/>
    </row>
    <row r="305">
      <c r="M305" s="80"/>
    </row>
    <row r="306">
      <c r="M306" s="80"/>
    </row>
    <row r="307">
      <c r="M307" s="80"/>
    </row>
    <row r="308">
      <c r="M308" s="80"/>
    </row>
    <row r="309">
      <c r="M309" s="80"/>
    </row>
    <row r="310">
      <c r="M310" s="80"/>
    </row>
    <row r="311">
      <c r="M311" s="80"/>
    </row>
    <row r="312">
      <c r="M312" s="80"/>
    </row>
    <row r="313">
      <c r="M313" s="80"/>
    </row>
    <row r="314">
      <c r="M314" s="80"/>
    </row>
    <row r="315">
      <c r="M315" s="80"/>
    </row>
    <row r="316">
      <c r="M316" s="80"/>
    </row>
    <row r="317">
      <c r="M317" s="80"/>
    </row>
    <row r="318">
      <c r="M318" s="80"/>
    </row>
    <row r="319">
      <c r="M319" s="80"/>
    </row>
    <row r="320">
      <c r="M320" s="80"/>
    </row>
    <row r="321">
      <c r="M321" s="80"/>
    </row>
    <row r="322">
      <c r="M322" s="80"/>
    </row>
    <row r="323">
      <c r="M323" s="80"/>
    </row>
    <row r="324">
      <c r="M324" s="80"/>
    </row>
    <row r="325">
      <c r="M325" s="80"/>
    </row>
    <row r="326">
      <c r="M326" s="80"/>
    </row>
    <row r="327">
      <c r="M327" s="80"/>
    </row>
    <row r="328">
      <c r="M328" s="80"/>
    </row>
    <row r="329">
      <c r="M329" s="80"/>
    </row>
    <row r="330">
      <c r="M330" s="80"/>
    </row>
    <row r="331">
      <c r="M331" s="80"/>
    </row>
    <row r="332">
      <c r="M332" s="80"/>
    </row>
    <row r="333">
      <c r="M333" s="80"/>
    </row>
    <row r="334">
      <c r="M334" s="80"/>
    </row>
    <row r="335">
      <c r="M335" s="80"/>
    </row>
    <row r="336">
      <c r="M336" s="80"/>
    </row>
    <row r="337">
      <c r="M337" s="80"/>
    </row>
    <row r="338">
      <c r="M338" s="80"/>
    </row>
    <row r="339">
      <c r="M339" s="80"/>
    </row>
    <row r="340">
      <c r="M340" s="80"/>
    </row>
    <row r="341">
      <c r="M341" s="80"/>
    </row>
    <row r="342">
      <c r="M342" s="80"/>
    </row>
    <row r="343">
      <c r="M343" s="80"/>
    </row>
    <row r="344">
      <c r="M344" s="80"/>
    </row>
    <row r="345">
      <c r="M345" s="80"/>
    </row>
    <row r="346">
      <c r="M346" s="80"/>
    </row>
    <row r="347">
      <c r="M347" s="80"/>
    </row>
    <row r="348">
      <c r="M348" s="80"/>
    </row>
    <row r="349">
      <c r="M349" s="80"/>
    </row>
    <row r="350">
      <c r="M350" s="80"/>
    </row>
    <row r="351">
      <c r="M351" s="80"/>
    </row>
    <row r="352">
      <c r="M352" s="80"/>
    </row>
    <row r="353">
      <c r="M353" s="80"/>
    </row>
    <row r="354">
      <c r="M354" s="80"/>
    </row>
    <row r="355">
      <c r="M355" s="80"/>
    </row>
    <row r="356">
      <c r="M356" s="80"/>
    </row>
    <row r="357">
      <c r="M357" s="80"/>
    </row>
    <row r="358">
      <c r="M358" s="80"/>
    </row>
    <row r="359">
      <c r="M359" s="80"/>
    </row>
    <row r="360">
      <c r="M360" s="80"/>
    </row>
    <row r="361">
      <c r="M361" s="80"/>
    </row>
    <row r="362">
      <c r="M362" s="80"/>
    </row>
    <row r="363">
      <c r="M363" s="80"/>
    </row>
    <row r="364">
      <c r="M364" s="80"/>
    </row>
    <row r="365">
      <c r="M365" s="80"/>
    </row>
    <row r="366">
      <c r="M366" s="80"/>
    </row>
    <row r="367">
      <c r="M367" s="80"/>
    </row>
    <row r="368">
      <c r="M368" s="80"/>
    </row>
    <row r="369">
      <c r="M369" s="80"/>
    </row>
    <row r="370">
      <c r="M370" s="80"/>
    </row>
    <row r="371">
      <c r="M371" s="80"/>
    </row>
    <row r="372">
      <c r="M372" s="80"/>
    </row>
    <row r="373">
      <c r="M373" s="80"/>
    </row>
    <row r="374">
      <c r="M374" s="80"/>
    </row>
    <row r="375">
      <c r="M375" s="80"/>
    </row>
    <row r="376">
      <c r="M376" s="80"/>
    </row>
    <row r="377">
      <c r="M377" s="80"/>
    </row>
    <row r="378">
      <c r="M378" s="80"/>
    </row>
    <row r="379">
      <c r="M379" s="80"/>
    </row>
    <row r="380">
      <c r="M380" s="80"/>
    </row>
    <row r="381">
      <c r="M381" s="80"/>
    </row>
    <row r="382">
      <c r="M382" s="80"/>
    </row>
    <row r="383">
      <c r="M383" s="80"/>
    </row>
    <row r="384">
      <c r="M384" s="80"/>
    </row>
    <row r="385">
      <c r="M385" s="80"/>
    </row>
    <row r="386">
      <c r="M386" s="80"/>
    </row>
    <row r="387">
      <c r="M387" s="80"/>
    </row>
    <row r="388">
      <c r="M388" s="80"/>
    </row>
    <row r="389">
      <c r="M389" s="80"/>
    </row>
    <row r="390">
      <c r="M390" s="80"/>
    </row>
    <row r="391">
      <c r="M391" s="80"/>
    </row>
    <row r="392">
      <c r="M392" s="80"/>
    </row>
    <row r="393">
      <c r="M393" s="80"/>
    </row>
    <row r="394">
      <c r="M394" s="80"/>
    </row>
    <row r="395">
      <c r="M395" s="80"/>
    </row>
    <row r="396">
      <c r="M396" s="80"/>
    </row>
    <row r="397">
      <c r="M397" s="80"/>
    </row>
    <row r="398">
      <c r="M398" s="80"/>
    </row>
    <row r="399">
      <c r="M399" s="80"/>
    </row>
    <row r="400">
      <c r="M400" s="80"/>
    </row>
    <row r="401">
      <c r="M401" s="80"/>
    </row>
    <row r="402">
      <c r="M402" s="80"/>
    </row>
    <row r="403">
      <c r="M403" s="80"/>
    </row>
    <row r="404">
      <c r="M404" s="80"/>
    </row>
    <row r="405">
      <c r="M405" s="80"/>
    </row>
    <row r="406">
      <c r="M406" s="80"/>
    </row>
    <row r="407">
      <c r="M407" s="80"/>
    </row>
    <row r="408">
      <c r="M408" s="80"/>
    </row>
    <row r="409">
      <c r="M409" s="80"/>
    </row>
    <row r="410">
      <c r="M410" s="80"/>
    </row>
    <row r="411">
      <c r="M411" s="80"/>
    </row>
    <row r="412">
      <c r="M412" s="80"/>
    </row>
    <row r="413">
      <c r="M413" s="80"/>
    </row>
    <row r="414">
      <c r="M414" s="80"/>
    </row>
    <row r="415">
      <c r="M415" s="80"/>
    </row>
    <row r="416">
      <c r="M416" s="80"/>
    </row>
    <row r="417">
      <c r="M417" s="80"/>
    </row>
    <row r="418">
      <c r="M418" s="80"/>
    </row>
    <row r="419">
      <c r="M419" s="80"/>
    </row>
    <row r="420">
      <c r="M420" s="80"/>
    </row>
    <row r="421">
      <c r="M421" s="80"/>
    </row>
    <row r="422">
      <c r="M422" s="80"/>
    </row>
    <row r="423">
      <c r="M423" s="80"/>
    </row>
    <row r="424">
      <c r="M424" s="80"/>
    </row>
    <row r="425">
      <c r="M425" s="80"/>
    </row>
    <row r="426">
      <c r="M426" s="80"/>
    </row>
    <row r="427">
      <c r="M427" s="80"/>
    </row>
    <row r="428">
      <c r="M428" s="80"/>
    </row>
    <row r="429">
      <c r="M429" s="80"/>
    </row>
    <row r="430">
      <c r="M430" s="80"/>
    </row>
    <row r="431">
      <c r="M431" s="80"/>
    </row>
    <row r="432">
      <c r="M432" s="80"/>
    </row>
    <row r="433">
      <c r="M433" s="80"/>
    </row>
    <row r="434">
      <c r="M434" s="80"/>
    </row>
    <row r="435">
      <c r="M435" s="80"/>
    </row>
    <row r="436">
      <c r="M436" s="80"/>
    </row>
    <row r="437">
      <c r="M437" s="80"/>
    </row>
    <row r="438">
      <c r="M438" s="80"/>
    </row>
    <row r="439">
      <c r="M439" s="80"/>
    </row>
    <row r="440">
      <c r="M440" s="80"/>
    </row>
    <row r="441">
      <c r="M441" s="80"/>
    </row>
    <row r="442">
      <c r="M442" s="80"/>
    </row>
    <row r="443">
      <c r="M443" s="80"/>
    </row>
    <row r="444">
      <c r="M444" s="80"/>
    </row>
    <row r="445">
      <c r="M445" s="80"/>
    </row>
    <row r="446">
      <c r="M446" s="80"/>
    </row>
    <row r="447">
      <c r="M447" s="80"/>
    </row>
    <row r="448">
      <c r="M448" s="80"/>
    </row>
    <row r="449">
      <c r="M449" s="80"/>
    </row>
    <row r="450">
      <c r="M450" s="80"/>
    </row>
    <row r="451">
      <c r="M451" s="80"/>
    </row>
    <row r="452">
      <c r="M452" s="80"/>
    </row>
    <row r="453">
      <c r="M453" s="80"/>
    </row>
    <row r="454">
      <c r="M454" s="80"/>
    </row>
    <row r="455">
      <c r="M455" s="80"/>
    </row>
    <row r="456">
      <c r="M456" s="80"/>
    </row>
    <row r="457">
      <c r="M457" s="80"/>
    </row>
    <row r="458">
      <c r="M458" s="80"/>
    </row>
    <row r="459">
      <c r="M459" s="80"/>
    </row>
    <row r="460">
      <c r="M460" s="80"/>
    </row>
    <row r="461">
      <c r="M461" s="80"/>
    </row>
    <row r="462">
      <c r="M462" s="80"/>
    </row>
    <row r="463">
      <c r="M463" s="80"/>
    </row>
    <row r="464">
      <c r="M464" s="80"/>
    </row>
    <row r="465">
      <c r="M465" s="80"/>
    </row>
    <row r="466">
      <c r="M466" s="80"/>
    </row>
    <row r="467">
      <c r="M467" s="80"/>
    </row>
    <row r="468">
      <c r="M468" s="80"/>
    </row>
    <row r="469">
      <c r="M469" s="80"/>
    </row>
    <row r="470">
      <c r="M470" s="80"/>
    </row>
    <row r="471">
      <c r="M471" s="80"/>
    </row>
    <row r="472">
      <c r="M472" s="80"/>
    </row>
    <row r="473">
      <c r="M473" s="80"/>
    </row>
    <row r="474">
      <c r="M474" s="80"/>
    </row>
    <row r="475">
      <c r="M475" s="80"/>
    </row>
    <row r="476">
      <c r="M476" s="80"/>
    </row>
    <row r="477">
      <c r="M477" s="80"/>
    </row>
    <row r="478">
      <c r="M478" s="80"/>
    </row>
    <row r="479">
      <c r="M479" s="80"/>
    </row>
    <row r="480">
      <c r="M480" s="80"/>
    </row>
    <row r="481">
      <c r="M481" s="80"/>
    </row>
    <row r="482">
      <c r="M482" s="80"/>
    </row>
    <row r="483">
      <c r="M483" s="80"/>
    </row>
    <row r="484">
      <c r="M484" s="80"/>
    </row>
    <row r="485">
      <c r="M485" s="80"/>
    </row>
    <row r="486">
      <c r="M486" s="80"/>
    </row>
    <row r="487">
      <c r="M487" s="80"/>
    </row>
    <row r="488">
      <c r="M488" s="80"/>
    </row>
    <row r="489">
      <c r="M489" s="80"/>
    </row>
    <row r="490">
      <c r="M490" s="80"/>
    </row>
    <row r="491">
      <c r="M491" s="80"/>
    </row>
    <row r="492">
      <c r="M492" s="80"/>
    </row>
    <row r="493">
      <c r="M493" s="80"/>
    </row>
    <row r="494">
      <c r="M494" s="80"/>
    </row>
    <row r="495">
      <c r="M495" s="80"/>
    </row>
    <row r="496">
      <c r="M496" s="80"/>
    </row>
    <row r="497">
      <c r="M497" s="80"/>
    </row>
    <row r="498">
      <c r="M498" s="80"/>
    </row>
    <row r="499">
      <c r="M499" s="80"/>
    </row>
    <row r="500">
      <c r="M500" s="80"/>
    </row>
    <row r="501">
      <c r="M501" s="80"/>
    </row>
    <row r="502">
      <c r="M502" s="80"/>
    </row>
    <row r="503">
      <c r="M503" s="80"/>
    </row>
    <row r="504">
      <c r="M504" s="80"/>
    </row>
    <row r="505">
      <c r="M505" s="80"/>
    </row>
    <row r="506">
      <c r="M506" s="80"/>
    </row>
    <row r="507">
      <c r="M507" s="80"/>
    </row>
    <row r="508">
      <c r="M508" s="80"/>
    </row>
    <row r="509">
      <c r="M509" s="80"/>
    </row>
    <row r="510">
      <c r="M510" s="80"/>
    </row>
    <row r="511">
      <c r="M511" s="80"/>
    </row>
    <row r="512">
      <c r="M512" s="80"/>
    </row>
    <row r="513">
      <c r="M513" s="80"/>
    </row>
    <row r="514">
      <c r="M514" s="80"/>
    </row>
    <row r="515">
      <c r="M515" s="80"/>
    </row>
    <row r="516">
      <c r="M516" s="80"/>
    </row>
    <row r="517">
      <c r="M517" s="80"/>
    </row>
    <row r="518">
      <c r="M518" s="80"/>
    </row>
    <row r="519">
      <c r="M519" s="80"/>
    </row>
    <row r="520">
      <c r="M520" s="80"/>
    </row>
    <row r="521">
      <c r="M521" s="80"/>
    </row>
    <row r="522">
      <c r="M522" s="80"/>
    </row>
    <row r="523">
      <c r="M523" s="80"/>
    </row>
    <row r="524">
      <c r="M524" s="80"/>
    </row>
    <row r="525">
      <c r="M525" s="80"/>
    </row>
    <row r="526">
      <c r="M526" s="80"/>
    </row>
    <row r="527">
      <c r="M527" s="80"/>
    </row>
    <row r="528">
      <c r="M528" s="80"/>
    </row>
    <row r="529">
      <c r="M529" s="80"/>
    </row>
    <row r="530">
      <c r="M530" s="80"/>
    </row>
    <row r="531">
      <c r="M531" s="80"/>
    </row>
    <row r="532">
      <c r="M532" s="80"/>
    </row>
    <row r="533">
      <c r="M533" s="80"/>
    </row>
    <row r="534">
      <c r="M534" s="80"/>
    </row>
    <row r="535">
      <c r="M535" s="80"/>
    </row>
    <row r="536">
      <c r="M536" s="80"/>
    </row>
    <row r="537">
      <c r="M537" s="80"/>
    </row>
    <row r="538">
      <c r="M538" s="80"/>
    </row>
    <row r="539">
      <c r="M539" s="80"/>
    </row>
    <row r="540">
      <c r="M540" s="80"/>
    </row>
    <row r="541">
      <c r="M541" s="80"/>
    </row>
    <row r="542">
      <c r="M542" s="80"/>
    </row>
    <row r="543">
      <c r="M543" s="80"/>
    </row>
    <row r="544">
      <c r="M544" s="80"/>
    </row>
    <row r="545">
      <c r="M545" s="80"/>
    </row>
    <row r="546">
      <c r="M546" s="80"/>
    </row>
    <row r="547">
      <c r="M547" s="80"/>
    </row>
    <row r="548">
      <c r="M548" s="80"/>
    </row>
    <row r="549">
      <c r="M549" s="80"/>
    </row>
    <row r="550">
      <c r="M550" s="80"/>
    </row>
    <row r="551">
      <c r="M551" s="80"/>
    </row>
    <row r="552">
      <c r="M552" s="80"/>
    </row>
    <row r="553">
      <c r="M553" s="80"/>
    </row>
    <row r="554">
      <c r="M554" s="80"/>
    </row>
    <row r="555">
      <c r="M555" s="80"/>
    </row>
    <row r="556">
      <c r="M556" s="80"/>
    </row>
    <row r="557">
      <c r="M557" s="80"/>
    </row>
    <row r="558">
      <c r="M558" s="80"/>
    </row>
    <row r="559">
      <c r="M559" s="80"/>
    </row>
    <row r="560">
      <c r="M560" s="80"/>
    </row>
    <row r="561">
      <c r="M561" s="80"/>
    </row>
    <row r="562">
      <c r="M562" s="80"/>
    </row>
    <row r="563">
      <c r="M563" s="80"/>
    </row>
    <row r="564">
      <c r="M564" s="80"/>
    </row>
    <row r="565">
      <c r="M565" s="80"/>
    </row>
    <row r="566">
      <c r="M566" s="80"/>
    </row>
    <row r="567">
      <c r="M567" s="80"/>
    </row>
    <row r="568">
      <c r="M568" s="80"/>
    </row>
    <row r="569">
      <c r="M569" s="80"/>
    </row>
    <row r="570">
      <c r="M570" s="80"/>
    </row>
    <row r="571">
      <c r="M571" s="80"/>
    </row>
    <row r="572">
      <c r="M572" s="80"/>
    </row>
    <row r="573">
      <c r="M573" s="80"/>
    </row>
    <row r="574">
      <c r="M574" s="80"/>
    </row>
    <row r="575">
      <c r="M575" s="80"/>
    </row>
    <row r="576">
      <c r="M576" s="80"/>
    </row>
    <row r="577">
      <c r="M577" s="80"/>
    </row>
    <row r="578">
      <c r="M578" s="80"/>
    </row>
    <row r="579">
      <c r="M579" s="80"/>
    </row>
    <row r="580">
      <c r="M580" s="80"/>
    </row>
    <row r="581">
      <c r="M581" s="80"/>
    </row>
    <row r="582">
      <c r="M582" s="80"/>
    </row>
    <row r="583">
      <c r="M583" s="80"/>
    </row>
    <row r="584">
      <c r="M584" s="80"/>
    </row>
    <row r="585">
      <c r="M585" s="80"/>
    </row>
    <row r="586">
      <c r="M586" s="80"/>
    </row>
    <row r="587">
      <c r="M587" s="80"/>
    </row>
    <row r="588">
      <c r="M588" s="80"/>
    </row>
    <row r="589">
      <c r="M589" s="80"/>
    </row>
    <row r="590">
      <c r="M590" s="80"/>
    </row>
    <row r="591">
      <c r="M591" s="80"/>
    </row>
    <row r="592">
      <c r="M592" s="80"/>
    </row>
    <row r="593">
      <c r="M593" s="80"/>
    </row>
    <row r="594">
      <c r="M594" s="80"/>
    </row>
    <row r="595">
      <c r="M595" s="80"/>
    </row>
    <row r="596">
      <c r="M596" s="80"/>
    </row>
    <row r="597">
      <c r="M597" s="80"/>
    </row>
    <row r="598">
      <c r="M598" s="80"/>
    </row>
    <row r="599">
      <c r="M599" s="80"/>
    </row>
    <row r="600">
      <c r="M600" s="80"/>
    </row>
    <row r="601">
      <c r="M601" s="80"/>
    </row>
    <row r="602">
      <c r="M602" s="80"/>
    </row>
    <row r="603">
      <c r="M603" s="80"/>
    </row>
    <row r="604">
      <c r="M604" s="80"/>
    </row>
    <row r="605">
      <c r="M605" s="80"/>
    </row>
    <row r="606">
      <c r="M606" s="80"/>
    </row>
    <row r="607">
      <c r="M607" s="80"/>
    </row>
    <row r="608">
      <c r="M608" s="80"/>
    </row>
    <row r="609">
      <c r="M609" s="80"/>
    </row>
    <row r="610">
      <c r="M610" s="80"/>
    </row>
    <row r="611">
      <c r="M611" s="80"/>
    </row>
    <row r="612">
      <c r="M612" s="80"/>
    </row>
    <row r="613">
      <c r="M613" s="80"/>
    </row>
    <row r="614">
      <c r="M614" s="80"/>
    </row>
    <row r="615">
      <c r="M615" s="80"/>
    </row>
    <row r="616">
      <c r="M616" s="80"/>
    </row>
    <row r="617">
      <c r="M617" s="80"/>
    </row>
    <row r="618">
      <c r="M618" s="80"/>
    </row>
    <row r="619">
      <c r="M619" s="80"/>
    </row>
    <row r="620">
      <c r="M620" s="80"/>
    </row>
    <row r="621">
      <c r="M621" s="80"/>
    </row>
    <row r="622">
      <c r="M622" s="80"/>
    </row>
    <row r="623">
      <c r="M623" s="80"/>
    </row>
    <row r="624">
      <c r="M624" s="80"/>
    </row>
    <row r="625">
      <c r="M625" s="80"/>
    </row>
    <row r="626">
      <c r="M626" s="80"/>
    </row>
    <row r="627">
      <c r="M627" s="80"/>
    </row>
    <row r="628">
      <c r="M628" s="80"/>
    </row>
    <row r="629">
      <c r="M629" s="80"/>
    </row>
    <row r="630">
      <c r="M630" s="80"/>
    </row>
    <row r="631">
      <c r="M631" s="80"/>
    </row>
    <row r="632">
      <c r="M632" s="80"/>
    </row>
    <row r="633">
      <c r="M633" s="80"/>
    </row>
    <row r="634">
      <c r="M634" s="80"/>
    </row>
    <row r="635">
      <c r="M635" s="80"/>
    </row>
    <row r="636">
      <c r="M636" s="80"/>
    </row>
    <row r="637">
      <c r="M637" s="80"/>
    </row>
    <row r="638">
      <c r="M638" s="80"/>
    </row>
    <row r="639">
      <c r="M639" s="80"/>
    </row>
    <row r="640">
      <c r="M640" s="80"/>
    </row>
    <row r="641">
      <c r="M641" s="80"/>
    </row>
    <row r="642">
      <c r="M642" s="80"/>
    </row>
    <row r="643">
      <c r="M643" s="80"/>
    </row>
    <row r="644">
      <c r="M644" s="80"/>
    </row>
    <row r="645">
      <c r="M645" s="80"/>
    </row>
    <row r="646">
      <c r="M646" s="80"/>
    </row>
    <row r="647">
      <c r="M647" s="80"/>
    </row>
    <row r="648">
      <c r="M648" s="80"/>
    </row>
    <row r="649">
      <c r="M649" s="80"/>
    </row>
    <row r="650">
      <c r="M650" s="80"/>
    </row>
    <row r="651">
      <c r="M651" s="80"/>
    </row>
    <row r="652">
      <c r="M652" s="80"/>
    </row>
    <row r="653">
      <c r="M653" s="80"/>
    </row>
    <row r="654">
      <c r="M654" s="80"/>
    </row>
    <row r="655">
      <c r="M655" s="80"/>
    </row>
    <row r="656">
      <c r="M656" s="80"/>
    </row>
    <row r="657">
      <c r="M657" s="80"/>
    </row>
    <row r="658">
      <c r="M658" s="80"/>
    </row>
    <row r="659">
      <c r="M659" s="80"/>
    </row>
    <row r="660">
      <c r="M660" s="80"/>
    </row>
    <row r="661">
      <c r="M661" s="80"/>
    </row>
    <row r="662">
      <c r="M662" s="80"/>
    </row>
    <row r="663">
      <c r="M663" s="80"/>
    </row>
    <row r="664">
      <c r="M664" s="80"/>
    </row>
    <row r="665">
      <c r="M665" s="80"/>
    </row>
    <row r="666">
      <c r="M666" s="80"/>
    </row>
    <row r="667">
      <c r="M667" s="80"/>
    </row>
    <row r="668">
      <c r="M668" s="80"/>
    </row>
    <row r="669">
      <c r="M669" s="80"/>
    </row>
    <row r="670">
      <c r="M670" s="80"/>
    </row>
    <row r="671">
      <c r="M671" s="80"/>
    </row>
    <row r="672">
      <c r="M672" s="80"/>
    </row>
    <row r="673">
      <c r="M673" s="80"/>
    </row>
    <row r="674">
      <c r="M674" s="80"/>
    </row>
    <row r="675">
      <c r="M675" s="80"/>
    </row>
    <row r="676">
      <c r="M676" s="80"/>
    </row>
    <row r="677">
      <c r="M677" s="80"/>
    </row>
    <row r="678">
      <c r="M678" s="80"/>
    </row>
    <row r="679">
      <c r="M679" s="80"/>
    </row>
    <row r="680">
      <c r="M680" s="80"/>
    </row>
    <row r="681">
      <c r="M681" s="80"/>
    </row>
    <row r="682">
      <c r="M682" s="80"/>
    </row>
    <row r="683">
      <c r="M683" s="80"/>
    </row>
    <row r="684">
      <c r="M684" s="80"/>
    </row>
    <row r="685">
      <c r="M685" s="80"/>
    </row>
    <row r="686">
      <c r="M686" s="80"/>
    </row>
    <row r="687">
      <c r="M687" s="80"/>
    </row>
    <row r="688">
      <c r="M688" s="80"/>
    </row>
    <row r="689">
      <c r="M689" s="80"/>
    </row>
    <row r="690">
      <c r="M690" s="80"/>
    </row>
    <row r="691">
      <c r="M691" s="80"/>
    </row>
    <row r="692">
      <c r="M692" s="80"/>
    </row>
    <row r="693">
      <c r="M693" s="80"/>
    </row>
    <row r="694">
      <c r="M694" s="80"/>
    </row>
    <row r="695">
      <c r="M695" s="80"/>
    </row>
    <row r="696">
      <c r="M696" s="80"/>
    </row>
    <row r="697">
      <c r="M697" s="80"/>
    </row>
    <row r="698">
      <c r="M698" s="80"/>
    </row>
    <row r="699">
      <c r="M699" s="80"/>
    </row>
    <row r="700">
      <c r="M700" s="80"/>
    </row>
    <row r="701">
      <c r="M701" s="80"/>
    </row>
    <row r="702">
      <c r="M702" s="80"/>
    </row>
    <row r="703">
      <c r="M703" s="80"/>
    </row>
    <row r="704">
      <c r="M704" s="80"/>
    </row>
    <row r="705">
      <c r="M705" s="80"/>
    </row>
    <row r="706">
      <c r="M706" s="80"/>
    </row>
    <row r="707">
      <c r="M707" s="80"/>
    </row>
    <row r="708">
      <c r="M708" s="80"/>
    </row>
    <row r="709">
      <c r="M709" s="80"/>
    </row>
    <row r="710">
      <c r="M710" s="80"/>
    </row>
    <row r="711">
      <c r="M711" s="80"/>
    </row>
    <row r="712">
      <c r="M712" s="80"/>
    </row>
    <row r="713">
      <c r="M713" s="80"/>
    </row>
    <row r="714">
      <c r="M714" s="80"/>
    </row>
    <row r="715">
      <c r="M715" s="80"/>
    </row>
    <row r="716">
      <c r="M716" s="80"/>
    </row>
    <row r="717">
      <c r="M717" s="80"/>
    </row>
    <row r="718">
      <c r="M718" s="80"/>
    </row>
    <row r="719">
      <c r="M719" s="80"/>
    </row>
    <row r="720">
      <c r="M720" s="80"/>
    </row>
    <row r="721">
      <c r="M721" s="80"/>
    </row>
    <row r="722">
      <c r="M722" s="80"/>
    </row>
    <row r="723">
      <c r="M723" s="80"/>
    </row>
    <row r="724">
      <c r="M724" s="80"/>
    </row>
    <row r="725">
      <c r="M725" s="80"/>
    </row>
    <row r="726">
      <c r="M726" s="80"/>
    </row>
    <row r="727">
      <c r="M727" s="80"/>
    </row>
    <row r="728">
      <c r="M728" s="80"/>
    </row>
    <row r="729">
      <c r="M729" s="80"/>
    </row>
    <row r="730">
      <c r="M730" s="80"/>
    </row>
    <row r="731">
      <c r="M731" s="80"/>
    </row>
    <row r="732">
      <c r="M732" s="80"/>
    </row>
    <row r="733">
      <c r="M733" s="80"/>
    </row>
    <row r="734">
      <c r="M734" s="80"/>
    </row>
    <row r="735">
      <c r="M735" s="80"/>
    </row>
    <row r="736">
      <c r="M736" s="80"/>
    </row>
    <row r="737">
      <c r="M737" s="80"/>
    </row>
    <row r="738">
      <c r="M738" s="80"/>
    </row>
    <row r="739">
      <c r="M739" s="80"/>
    </row>
    <row r="740">
      <c r="M740" s="80"/>
    </row>
    <row r="741">
      <c r="M741" s="80"/>
    </row>
    <row r="742">
      <c r="M742" s="80"/>
    </row>
    <row r="743">
      <c r="M743" s="80"/>
    </row>
    <row r="744">
      <c r="M744" s="80"/>
    </row>
    <row r="745">
      <c r="M745" s="80"/>
    </row>
    <row r="746">
      <c r="M746" s="80"/>
    </row>
    <row r="747">
      <c r="M747" s="80"/>
    </row>
    <row r="748">
      <c r="M748" s="80"/>
    </row>
    <row r="749">
      <c r="M749" s="80"/>
    </row>
    <row r="750">
      <c r="M750" s="80"/>
    </row>
    <row r="751">
      <c r="M751" s="80"/>
    </row>
    <row r="752">
      <c r="M752" s="80"/>
    </row>
    <row r="753">
      <c r="M753" s="80"/>
    </row>
    <row r="754">
      <c r="M754" s="80"/>
    </row>
    <row r="755">
      <c r="M755" s="80"/>
    </row>
    <row r="756">
      <c r="M756" s="80"/>
    </row>
    <row r="757">
      <c r="M757" s="80"/>
    </row>
    <row r="758">
      <c r="M758" s="80"/>
    </row>
    <row r="759">
      <c r="M759" s="80"/>
    </row>
    <row r="760">
      <c r="M760" s="80"/>
    </row>
    <row r="761">
      <c r="M761" s="80"/>
    </row>
    <row r="762">
      <c r="M762" s="80"/>
    </row>
    <row r="763">
      <c r="M763" s="80"/>
    </row>
    <row r="764">
      <c r="M764" s="80"/>
    </row>
    <row r="765">
      <c r="M765" s="80"/>
    </row>
    <row r="766">
      <c r="M766" s="80"/>
    </row>
    <row r="767">
      <c r="M767" s="80"/>
    </row>
    <row r="768">
      <c r="M768" s="80"/>
    </row>
    <row r="769">
      <c r="M769" s="80"/>
    </row>
    <row r="770">
      <c r="M770" s="80"/>
    </row>
    <row r="771">
      <c r="M771" s="80"/>
    </row>
    <row r="772">
      <c r="M772" s="80"/>
    </row>
    <row r="773">
      <c r="M773" s="80"/>
    </row>
    <row r="774">
      <c r="M774" s="80"/>
    </row>
    <row r="775">
      <c r="M775" s="80"/>
    </row>
    <row r="776">
      <c r="M776" s="80"/>
    </row>
    <row r="777">
      <c r="M777" s="80"/>
    </row>
    <row r="778">
      <c r="M778" s="80"/>
    </row>
    <row r="779">
      <c r="M779" s="80"/>
    </row>
    <row r="780">
      <c r="M780" s="80"/>
    </row>
    <row r="781">
      <c r="M781" s="80"/>
    </row>
    <row r="782">
      <c r="M782" s="80"/>
    </row>
    <row r="783">
      <c r="M783" s="80"/>
    </row>
    <row r="784">
      <c r="M784" s="80"/>
    </row>
    <row r="785">
      <c r="M785" s="80"/>
    </row>
    <row r="786">
      <c r="M786" s="80"/>
    </row>
    <row r="787">
      <c r="M787" s="80"/>
    </row>
    <row r="788">
      <c r="M788" s="80"/>
    </row>
    <row r="789">
      <c r="M789" s="80"/>
    </row>
    <row r="790">
      <c r="M790" s="80"/>
    </row>
    <row r="791">
      <c r="M791" s="80"/>
    </row>
    <row r="792">
      <c r="M792" s="80"/>
    </row>
    <row r="793">
      <c r="M793" s="80"/>
    </row>
    <row r="794">
      <c r="M794" s="80"/>
    </row>
    <row r="795">
      <c r="M795" s="80"/>
    </row>
    <row r="796">
      <c r="M796" s="80"/>
    </row>
    <row r="797">
      <c r="M797" s="80"/>
    </row>
    <row r="798">
      <c r="M798" s="80"/>
    </row>
    <row r="799">
      <c r="M799" s="80"/>
    </row>
    <row r="800">
      <c r="M800" s="80"/>
    </row>
    <row r="801">
      <c r="M801" s="80"/>
    </row>
    <row r="802">
      <c r="M802" s="80"/>
    </row>
    <row r="803">
      <c r="M803" s="80"/>
    </row>
    <row r="804">
      <c r="M804" s="80"/>
    </row>
    <row r="805">
      <c r="M805" s="80"/>
    </row>
    <row r="806">
      <c r="M806" s="80"/>
    </row>
    <row r="807">
      <c r="M807" s="80"/>
    </row>
    <row r="808">
      <c r="M808" s="80"/>
    </row>
    <row r="809">
      <c r="M809" s="80"/>
    </row>
    <row r="810">
      <c r="M810" s="80"/>
    </row>
    <row r="811">
      <c r="M811" s="80"/>
    </row>
    <row r="812">
      <c r="M812" s="80"/>
    </row>
    <row r="813">
      <c r="M813" s="80"/>
    </row>
    <row r="814">
      <c r="M814" s="80"/>
    </row>
    <row r="815">
      <c r="M815" s="80"/>
    </row>
    <row r="816">
      <c r="M816" s="80"/>
    </row>
    <row r="817">
      <c r="M817" s="80"/>
    </row>
    <row r="818">
      <c r="M818" s="80"/>
    </row>
    <row r="819">
      <c r="M819" s="80"/>
    </row>
    <row r="820">
      <c r="M820" s="80"/>
    </row>
    <row r="821">
      <c r="M821" s="80"/>
    </row>
    <row r="822">
      <c r="M822" s="80"/>
    </row>
    <row r="823">
      <c r="M823" s="80"/>
    </row>
    <row r="824">
      <c r="M824" s="80"/>
    </row>
    <row r="825">
      <c r="M825" s="80"/>
    </row>
    <row r="826">
      <c r="M826" s="80"/>
    </row>
    <row r="827">
      <c r="M827" s="80"/>
    </row>
    <row r="828">
      <c r="M828" s="80"/>
    </row>
    <row r="829">
      <c r="M829" s="80"/>
    </row>
    <row r="830">
      <c r="M830" s="80"/>
    </row>
    <row r="831">
      <c r="M831" s="80"/>
    </row>
    <row r="832">
      <c r="M832" s="80"/>
    </row>
    <row r="833">
      <c r="M833" s="80"/>
    </row>
    <row r="834">
      <c r="M834" s="80"/>
    </row>
    <row r="835">
      <c r="M835" s="80"/>
    </row>
    <row r="836">
      <c r="M836" s="80"/>
    </row>
    <row r="837">
      <c r="M837" s="80"/>
    </row>
    <row r="838">
      <c r="M838" s="80"/>
    </row>
    <row r="839">
      <c r="M839" s="80"/>
    </row>
    <row r="840">
      <c r="M840" s="80"/>
    </row>
    <row r="841">
      <c r="M841" s="80"/>
    </row>
    <row r="842">
      <c r="M842" s="80"/>
    </row>
    <row r="843">
      <c r="M843" s="80"/>
    </row>
    <row r="844">
      <c r="M844" s="80"/>
    </row>
    <row r="845">
      <c r="M845" s="80"/>
    </row>
    <row r="846">
      <c r="M846" s="80"/>
    </row>
    <row r="847">
      <c r="M847" s="80"/>
    </row>
    <row r="848">
      <c r="M848" s="80"/>
    </row>
    <row r="849">
      <c r="M849" s="80"/>
    </row>
    <row r="850">
      <c r="M850" s="80"/>
    </row>
    <row r="851">
      <c r="M851" s="80"/>
    </row>
    <row r="852">
      <c r="M852" s="80"/>
    </row>
    <row r="853">
      <c r="M853" s="80"/>
    </row>
    <row r="854">
      <c r="M854" s="80"/>
    </row>
    <row r="855">
      <c r="M855" s="80"/>
    </row>
    <row r="856">
      <c r="M856" s="80"/>
    </row>
    <row r="857">
      <c r="M857" s="80"/>
    </row>
    <row r="858">
      <c r="M858" s="80"/>
    </row>
    <row r="859">
      <c r="M859" s="80"/>
    </row>
    <row r="860">
      <c r="M860" s="80"/>
    </row>
    <row r="861">
      <c r="M861" s="80"/>
    </row>
    <row r="862">
      <c r="M862" s="80"/>
    </row>
    <row r="863">
      <c r="M863" s="80"/>
    </row>
    <row r="864">
      <c r="M864" s="80"/>
    </row>
    <row r="865">
      <c r="M865" s="80"/>
    </row>
    <row r="866">
      <c r="M866" s="80"/>
    </row>
    <row r="867">
      <c r="M867" s="80"/>
    </row>
    <row r="868">
      <c r="M868" s="80"/>
    </row>
    <row r="869">
      <c r="M869" s="80"/>
    </row>
    <row r="870">
      <c r="M870" s="80"/>
    </row>
    <row r="871">
      <c r="M871" s="80"/>
    </row>
    <row r="872">
      <c r="M872" s="80"/>
    </row>
    <row r="873">
      <c r="M873" s="80"/>
    </row>
    <row r="874">
      <c r="M874" s="80"/>
    </row>
    <row r="875">
      <c r="M875" s="80"/>
    </row>
    <row r="876">
      <c r="M876" s="80"/>
    </row>
    <row r="877">
      <c r="M877" s="80"/>
    </row>
    <row r="878">
      <c r="M878" s="80"/>
    </row>
    <row r="879">
      <c r="M879" s="80"/>
    </row>
    <row r="880">
      <c r="M880" s="80"/>
    </row>
    <row r="881">
      <c r="M881" s="80"/>
    </row>
    <row r="882">
      <c r="M882" s="80"/>
    </row>
    <row r="883">
      <c r="M883" s="80"/>
    </row>
    <row r="884">
      <c r="M884" s="80"/>
    </row>
    <row r="885">
      <c r="M885" s="80"/>
    </row>
    <row r="886">
      <c r="M886" s="80"/>
    </row>
    <row r="887">
      <c r="M887" s="80"/>
    </row>
    <row r="888">
      <c r="M888" s="80"/>
    </row>
    <row r="889">
      <c r="M889" s="80"/>
    </row>
    <row r="890">
      <c r="M890" s="80"/>
    </row>
    <row r="891">
      <c r="M891" s="80"/>
    </row>
    <row r="892">
      <c r="M892" s="80"/>
    </row>
    <row r="893">
      <c r="M893" s="80"/>
    </row>
    <row r="894">
      <c r="M894" s="80"/>
    </row>
    <row r="895">
      <c r="M895" s="80"/>
    </row>
    <row r="896">
      <c r="M896" s="80"/>
    </row>
    <row r="897">
      <c r="M897" s="80"/>
    </row>
    <row r="898">
      <c r="M898" s="80"/>
    </row>
    <row r="899">
      <c r="M899" s="80"/>
    </row>
    <row r="900">
      <c r="M900" s="80"/>
    </row>
    <row r="901">
      <c r="M901" s="80"/>
    </row>
    <row r="902">
      <c r="M902" s="80"/>
    </row>
    <row r="903">
      <c r="M903" s="80"/>
    </row>
    <row r="904">
      <c r="M904" s="80"/>
    </row>
    <row r="905">
      <c r="M905" s="80"/>
    </row>
    <row r="906">
      <c r="M906" s="80"/>
    </row>
    <row r="907">
      <c r="M907" s="80"/>
    </row>
    <row r="908">
      <c r="M908" s="80"/>
    </row>
    <row r="909">
      <c r="M909" s="80"/>
    </row>
    <row r="910">
      <c r="M910" s="80"/>
    </row>
    <row r="911">
      <c r="M911" s="80"/>
    </row>
    <row r="912">
      <c r="M912" s="80"/>
    </row>
    <row r="913">
      <c r="M913" s="80"/>
    </row>
    <row r="914">
      <c r="M914" s="80"/>
    </row>
    <row r="915">
      <c r="M915" s="80"/>
    </row>
    <row r="916">
      <c r="M916" s="80"/>
    </row>
    <row r="917">
      <c r="M917" s="80"/>
    </row>
    <row r="918">
      <c r="M918" s="80"/>
    </row>
    <row r="919">
      <c r="M919" s="80"/>
    </row>
    <row r="920">
      <c r="M920" s="80"/>
    </row>
    <row r="921">
      <c r="M921" s="80"/>
    </row>
    <row r="922">
      <c r="M922" s="80"/>
    </row>
    <row r="923">
      <c r="M923" s="80"/>
    </row>
    <row r="924">
      <c r="M924" s="80"/>
    </row>
    <row r="925">
      <c r="M925" s="80"/>
    </row>
    <row r="926">
      <c r="M926" s="80"/>
    </row>
    <row r="927">
      <c r="M927" s="80"/>
    </row>
    <row r="928">
      <c r="M928" s="80"/>
    </row>
    <row r="929">
      <c r="M929" s="80"/>
    </row>
    <row r="930">
      <c r="M930" s="80"/>
    </row>
    <row r="931">
      <c r="M931" s="80"/>
    </row>
    <row r="932">
      <c r="M932" s="80"/>
    </row>
    <row r="933">
      <c r="M933" s="80"/>
    </row>
    <row r="934">
      <c r="M934" s="80"/>
    </row>
    <row r="935">
      <c r="M935" s="80"/>
    </row>
    <row r="936">
      <c r="M936" s="80"/>
    </row>
    <row r="937">
      <c r="M937" s="80"/>
    </row>
    <row r="938">
      <c r="M938" s="80"/>
    </row>
    <row r="939">
      <c r="M939" s="80"/>
    </row>
    <row r="940">
      <c r="M940" s="80"/>
    </row>
    <row r="941">
      <c r="M941" s="80"/>
    </row>
    <row r="942">
      <c r="M942" s="80"/>
    </row>
    <row r="943">
      <c r="M943" s="80"/>
    </row>
    <row r="944">
      <c r="M944" s="80"/>
    </row>
    <row r="945">
      <c r="M945" s="80"/>
    </row>
    <row r="946">
      <c r="M946" s="80"/>
    </row>
    <row r="947">
      <c r="M947" s="80"/>
    </row>
    <row r="948">
      <c r="M948" s="80"/>
    </row>
    <row r="949">
      <c r="M949" s="80"/>
    </row>
    <row r="950">
      <c r="M950" s="80"/>
    </row>
    <row r="951">
      <c r="M951" s="80"/>
    </row>
    <row r="952">
      <c r="M952" s="80"/>
    </row>
    <row r="953">
      <c r="M953" s="80"/>
    </row>
    <row r="954">
      <c r="M954" s="80"/>
    </row>
    <row r="955">
      <c r="M955" s="80"/>
    </row>
    <row r="956">
      <c r="M956" s="80"/>
    </row>
    <row r="957">
      <c r="M957" s="80"/>
    </row>
    <row r="958">
      <c r="M958" s="80"/>
    </row>
    <row r="959">
      <c r="M959" s="80"/>
    </row>
    <row r="960">
      <c r="M960" s="80"/>
    </row>
    <row r="961">
      <c r="M961" s="80"/>
    </row>
    <row r="962">
      <c r="M962" s="80"/>
    </row>
    <row r="963">
      <c r="M963" s="80"/>
    </row>
    <row r="964">
      <c r="M964" s="80"/>
    </row>
    <row r="965">
      <c r="M965" s="80"/>
    </row>
    <row r="966">
      <c r="M966" s="80"/>
    </row>
    <row r="967">
      <c r="M967" s="80"/>
    </row>
    <row r="968">
      <c r="M968" s="80"/>
    </row>
    <row r="969">
      <c r="M969" s="80"/>
    </row>
    <row r="970">
      <c r="M970" s="80"/>
    </row>
    <row r="971">
      <c r="M971" s="80"/>
    </row>
    <row r="972">
      <c r="M972" s="80"/>
    </row>
    <row r="973">
      <c r="M973" s="80"/>
    </row>
    <row r="974">
      <c r="M974" s="80"/>
    </row>
    <row r="975">
      <c r="M975" s="80"/>
    </row>
    <row r="976">
      <c r="M976" s="80"/>
    </row>
    <row r="977">
      <c r="M977" s="80"/>
    </row>
    <row r="978">
      <c r="M978" s="80"/>
    </row>
    <row r="979">
      <c r="M979" s="80"/>
    </row>
    <row r="980">
      <c r="M980" s="80"/>
    </row>
    <row r="981">
      <c r="M981" s="80"/>
    </row>
    <row r="982">
      <c r="M982" s="80"/>
    </row>
    <row r="983">
      <c r="M983" s="80"/>
    </row>
    <row r="984">
      <c r="M984" s="80"/>
    </row>
    <row r="985">
      <c r="M985" s="80"/>
    </row>
    <row r="986">
      <c r="M986" s="80"/>
    </row>
    <row r="987">
      <c r="M987" s="80"/>
    </row>
    <row r="988">
      <c r="M988" s="80"/>
    </row>
    <row r="989">
      <c r="M989" s="80"/>
    </row>
    <row r="990">
      <c r="M990" s="80"/>
    </row>
    <row r="991">
      <c r="M991" s="80"/>
    </row>
    <row r="992">
      <c r="M992" s="80"/>
    </row>
    <row r="993">
      <c r="M993" s="80"/>
    </row>
    <row r="994">
      <c r="M994" s="80"/>
    </row>
    <row r="995">
      <c r="M995" s="80"/>
    </row>
    <row r="996">
      <c r="M996" s="80"/>
    </row>
    <row r="997">
      <c r="M997" s="80"/>
    </row>
    <row r="998">
      <c r="M998" s="80"/>
    </row>
    <row r="999">
      <c r="M999" s="80"/>
    </row>
    <row r="1000">
      <c r="M1000" s="80"/>
    </row>
    <row r="1001">
      <c r="M1001" s="80"/>
    </row>
    <row r="1002">
      <c r="M1002" s="80"/>
    </row>
    <row r="1003">
      <c r="M1003" s="80"/>
    </row>
    <row r="1004">
      <c r="M1004" s="80"/>
    </row>
    <row r="1005">
      <c r="M1005" s="80"/>
    </row>
    <row r="1006">
      <c r="M1006" s="80"/>
    </row>
    <row r="1007">
      <c r="M1007" s="80"/>
    </row>
    <row r="1008">
      <c r="M1008" s="80"/>
    </row>
    <row r="1009">
      <c r="M1009" s="80"/>
    </row>
    <row r="1010">
      <c r="M1010" s="80"/>
    </row>
    <row r="1011">
      <c r="M1011" s="80"/>
    </row>
    <row r="1012">
      <c r="M1012" s="80"/>
    </row>
    <row r="1013">
      <c r="M1013" s="80"/>
    </row>
    <row r="1014">
      <c r="M1014" s="80"/>
    </row>
  </sheetData>
  <autoFilter ref="$A$5:$AC$30"/>
  <mergeCells count="6">
    <mergeCell ref="B4:C4"/>
    <mergeCell ref="D4:E4"/>
    <mergeCell ref="F4:G4"/>
    <mergeCell ref="H4:I4"/>
    <mergeCell ref="J4:M4"/>
    <mergeCell ref="N4:O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5.88"/>
    <col customWidth="1" min="2" max="2" width="15.38"/>
    <col customWidth="1" min="3" max="3" width="47.25"/>
    <col customWidth="1" min="4" max="4" width="23.63"/>
    <col customWidth="1" min="5" max="5" width="15.0"/>
    <col customWidth="1" min="6" max="6" width="28.0"/>
    <col customWidth="1" min="7" max="7" width="19.75"/>
    <col customWidth="1" min="8" max="8" width="14.5"/>
    <col customWidth="1" min="9" max="11" width="26.63"/>
    <col customWidth="1" min="12" max="12" width="25.63"/>
    <col customWidth="1" min="14" max="14" width="38.25"/>
    <col customWidth="1" min="15" max="15" width="24.88"/>
  </cols>
  <sheetData>
    <row r="1">
      <c r="A1" s="2" t="s">
        <v>314</v>
      </c>
      <c r="I1" s="10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3"/>
      <c r="C2" s="106"/>
      <c r="D2" s="6"/>
      <c r="E2" s="5"/>
      <c r="F2" s="5"/>
      <c r="G2" s="5"/>
      <c r="H2" s="3"/>
      <c r="I2" s="10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9" t="s">
        <v>3</v>
      </c>
      <c r="B3" s="9" t="s">
        <v>315</v>
      </c>
      <c r="C3" s="108" t="s">
        <v>6</v>
      </c>
      <c r="D3" s="13" t="s">
        <v>16</v>
      </c>
      <c r="E3" s="15" t="s">
        <v>11</v>
      </c>
      <c r="F3" s="109" t="s">
        <v>316</v>
      </c>
      <c r="G3" s="109" t="s">
        <v>317</v>
      </c>
      <c r="H3" s="3"/>
      <c r="I3" s="10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20" t="s">
        <v>13</v>
      </c>
      <c r="B4" s="98">
        <v>1700.28</v>
      </c>
      <c r="C4" s="98">
        <v>985.7100067</v>
      </c>
      <c r="D4" s="48"/>
      <c r="E4" s="48">
        <f t="shared" ref="E4:E25" si="1">SUM(B4:D4)</f>
        <v>2685.990007</v>
      </c>
      <c r="F4" s="49"/>
      <c r="G4" s="49"/>
      <c r="H4" s="44" t="s">
        <v>318</v>
      </c>
      <c r="I4" s="105"/>
    </row>
    <row r="5">
      <c r="A5" s="20" t="s">
        <v>110</v>
      </c>
      <c r="B5" s="98">
        <v>104.31</v>
      </c>
      <c r="C5" s="98"/>
      <c r="D5" s="48"/>
      <c r="E5" s="48">
        <f t="shared" si="1"/>
        <v>104.31</v>
      </c>
      <c r="F5" s="20">
        <v>104.0</v>
      </c>
      <c r="G5" s="20"/>
    </row>
    <row r="6">
      <c r="A6" s="20" t="s">
        <v>112</v>
      </c>
      <c r="B6" s="98">
        <v>1046.62</v>
      </c>
      <c r="C6" s="98"/>
      <c r="D6" s="48"/>
      <c r="E6" s="48">
        <f t="shared" si="1"/>
        <v>1046.62</v>
      </c>
      <c r="F6" s="20">
        <v>1047.0</v>
      </c>
      <c r="G6" s="20"/>
    </row>
    <row r="7">
      <c r="A7" s="20" t="s">
        <v>308</v>
      </c>
      <c r="B7" s="98">
        <v>5101.23</v>
      </c>
      <c r="C7" s="98"/>
      <c r="D7" s="48"/>
      <c r="E7" s="48">
        <f t="shared" si="1"/>
        <v>5101.23</v>
      </c>
      <c r="F7" s="98"/>
      <c r="G7" s="94">
        <v>5101.23</v>
      </c>
    </row>
    <row r="8">
      <c r="A8" s="20" t="s">
        <v>133</v>
      </c>
      <c r="B8" s="98">
        <v>104.31</v>
      </c>
      <c r="C8" s="98"/>
      <c r="D8" s="48"/>
      <c r="E8" s="48">
        <f t="shared" si="1"/>
        <v>104.31</v>
      </c>
      <c r="F8" s="49"/>
      <c r="G8" s="49"/>
      <c r="H8" s="44" t="s">
        <v>318</v>
      </c>
      <c r="I8" s="105"/>
    </row>
    <row r="9">
      <c r="A9" s="20" t="s">
        <v>126</v>
      </c>
      <c r="B9" s="98">
        <v>1733.93</v>
      </c>
      <c r="C9" s="98">
        <v>1185.709999</v>
      </c>
      <c r="D9" s="48"/>
      <c r="E9" s="48">
        <f t="shared" si="1"/>
        <v>2919.639999</v>
      </c>
      <c r="F9" s="20"/>
      <c r="G9" s="20">
        <v>2920.0</v>
      </c>
    </row>
    <row r="10">
      <c r="A10" s="20" t="s">
        <v>143</v>
      </c>
      <c r="B10" s="98">
        <v>212.75</v>
      </c>
      <c r="C10" s="98">
        <v>796.7699966</v>
      </c>
      <c r="D10" s="48"/>
      <c r="E10" s="48">
        <f t="shared" si="1"/>
        <v>1009.519997</v>
      </c>
      <c r="F10" s="20"/>
      <c r="G10" s="20">
        <v>1010.0</v>
      </c>
    </row>
    <row r="11" ht="15.0" customHeight="1">
      <c r="A11" s="20" t="s">
        <v>150</v>
      </c>
      <c r="B11" s="98">
        <v>471.0</v>
      </c>
      <c r="C11" s="98"/>
      <c r="D11" s="48"/>
      <c r="E11" s="48">
        <f t="shared" si="1"/>
        <v>471</v>
      </c>
      <c r="F11" s="20"/>
      <c r="G11" s="20">
        <v>471.0</v>
      </c>
    </row>
    <row r="12">
      <c r="A12" s="20" t="s">
        <v>152</v>
      </c>
      <c r="B12" s="98">
        <v>1233.59</v>
      </c>
      <c r="C12" s="98"/>
      <c r="D12" s="48"/>
      <c r="E12" s="48">
        <f t="shared" si="1"/>
        <v>1233.59</v>
      </c>
      <c r="F12" s="20">
        <v>1234.0</v>
      </c>
      <c r="G12" s="20"/>
    </row>
    <row r="13">
      <c r="A13" s="20" t="s">
        <v>81</v>
      </c>
      <c r="B13" s="98">
        <v>793.85</v>
      </c>
      <c r="C13" s="98"/>
      <c r="D13" s="48"/>
      <c r="E13" s="48">
        <f t="shared" si="1"/>
        <v>793.85</v>
      </c>
      <c r="F13" s="44">
        <v>794.0</v>
      </c>
      <c r="G13" s="20"/>
    </row>
    <row r="14">
      <c r="A14" s="20" t="s">
        <v>174</v>
      </c>
      <c r="B14" s="98">
        <v>974.89</v>
      </c>
      <c r="C14" s="98"/>
      <c r="D14" s="48"/>
      <c r="E14" s="48">
        <f t="shared" si="1"/>
        <v>974.89</v>
      </c>
      <c r="F14" s="20">
        <v>975.0</v>
      </c>
      <c r="G14" s="20"/>
    </row>
    <row r="15">
      <c r="A15" s="20" t="s">
        <v>176</v>
      </c>
      <c r="B15" s="98">
        <v>387.32</v>
      </c>
      <c r="C15" s="98"/>
      <c r="D15" s="48"/>
      <c r="E15" s="48">
        <f t="shared" si="1"/>
        <v>387.32</v>
      </c>
      <c r="F15" s="20">
        <v>387.0</v>
      </c>
      <c r="G15" s="20"/>
    </row>
    <row r="16">
      <c r="A16" s="20" t="s">
        <v>178</v>
      </c>
      <c r="B16" s="98"/>
      <c r="C16" s="98">
        <v>600.0</v>
      </c>
      <c r="D16" s="48"/>
      <c r="E16" s="110">
        <f t="shared" si="1"/>
        <v>600</v>
      </c>
      <c r="F16" s="20">
        <v>600.0</v>
      </c>
      <c r="G16" s="20"/>
    </row>
    <row r="17">
      <c r="A17" s="20" t="s">
        <v>195</v>
      </c>
      <c r="B17" s="98">
        <v>414.07</v>
      </c>
      <c r="C17" s="98"/>
      <c r="D17" s="48"/>
      <c r="E17" s="48">
        <f t="shared" si="1"/>
        <v>414.07</v>
      </c>
      <c r="F17" s="20">
        <v>414.0</v>
      </c>
      <c r="G17" s="20"/>
    </row>
    <row r="18">
      <c r="A18" s="20" t="s">
        <v>311</v>
      </c>
      <c r="B18" s="98"/>
      <c r="C18" s="98"/>
      <c r="D18" s="111">
        <v>500.0</v>
      </c>
      <c r="E18" s="48">
        <f t="shared" si="1"/>
        <v>500</v>
      </c>
      <c r="F18" s="49"/>
      <c r="G18" s="49"/>
      <c r="H18" s="44" t="s">
        <v>318</v>
      </c>
      <c r="I18" s="105"/>
    </row>
    <row r="19">
      <c r="A19" s="20" t="s">
        <v>312</v>
      </c>
      <c r="B19" s="98">
        <v>764.2758621</v>
      </c>
      <c r="C19" s="98"/>
      <c r="D19" s="48"/>
      <c r="E19" s="48">
        <f t="shared" si="1"/>
        <v>764.2758621</v>
      </c>
      <c r="F19" s="20"/>
      <c r="G19" s="20">
        <v>764.0</v>
      </c>
    </row>
    <row r="20">
      <c r="A20" s="20" t="s">
        <v>215</v>
      </c>
      <c r="B20" s="98"/>
      <c r="C20" s="98">
        <v>600.0</v>
      </c>
      <c r="D20" s="48"/>
      <c r="E20" s="48">
        <f t="shared" si="1"/>
        <v>600</v>
      </c>
      <c r="F20" s="20">
        <v>600.0</v>
      </c>
      <c r="G20" s="20"/>
    </row>
    <row r="21">
      <c r="A21" s="20" t="s">
        <v>88</v>
      </c>
      <c r="B21" s="98">
        <v>226.55</v>
      </c>
      <c r="C21" s="98"/>
      <c r="D21" s="48"/>
      <c r="E21" s="48">
        <f t="shared" si="1"/>
        <v>226.55</v>
      </c>
      <c r="F21" s="20">
        <v>227.0</v>
      </c>
      <c r="G21" s="20"/>
    </row>
    <row r="22">
      <c r="A22" s="20" t="s">
        <v>261</v>
      </c>
      <c r="B22" s="98">
        <v>474.49</v>
      </c>
      <c r="C22" s="98"/>
      <c r="D22" s="48"/>
      <c r="E22" s="48">
        <f t="shared" si="1"/>
        <v>474.49</v>
      </c>
      <c r="F22" s="20">
        <v>474.0</v>
      </c>
      <c r="G22" s="20"/>
    </row>
    <row r="23">
      <c r="A23" s="20" t="s">
        <v>269</v>
      </c>
      <c r="B23" s="98">
        <v>322.76</v>
      </c>
      <c r="C23" s="98"/>
      <c r="D23" s="48"/>
      <c r="E23" s="48">
        <f t="shared" si="1"/>
        <v>322.76</v>
      </c>
      <c r="F23" s="20">
        <v>323.0</v>
      </c>
      <c r="G23" s="20"/>
    </row>
    <row r="24">
      <c r="A24" s="20" t="s">
        <v>271</v>
      </c>
      <c r="B24" s="98">
        <v>504.73</v>
      </c>
      <c r="C24" s="98"/>
      <c r="D24" s="48"/>
      <c r="E24" s="48">
        <f t="shared" si="1"/>
        <v>504.73</v>
      </c>
      <c r="F24" s="20"/>
      <c r="G24" s="20">
        <v>505.0</v>
      </c>
    </row>
    <row r="25">
      <c r="A25" s="20" t="s">
        <v>313</v>
      </c>
      <c r="B25" s="98">
        <v>264.0</v>
      </c>
      <c r="C25" s="98"/>
      <c r="D25" s="48"/>
      <c r="E25" s="48">
        <f t="shared" si="1"/>
        <v>264</v>
      </c>
      <c r="F25" s="20"/>
      <c r="G25" s="20">
        <v>264.0</v>
      </c>
    </row>
    <row r="26">
      <c r="A26" s="46" t="s">
        <v>11</v>
      </c>
      <c r="B26" s="48">
        <f t="shared" ref="B26:G26" si="2">SUM(B4:B25)</f>
        <v>16834.95586</v>
      </c>
      <c r="C26" s="48">
        <f t="shared" si="2"/>
        <v>4168.190002</v>
      </c>
      <c r="D26" s="48">
        <f t="shared" si="2"/>
        <v>500</v>
      </c>
      <c r="E26" s="48">
        <f t="shared" si="2"/>
        <v>21503.14586</v>
      </c>
      <c r="F26" s="48">
        <f t="shared" si="2"/>
        <v>7179</v>
      </c>
      <c r="G26" s="48">
        <f t="shared" si="2"/>
        <v>11035.23</v>
      </c>
    </row>
    <row r="27">
      <c r="I27" s="105"/>
    </row>
    <row r="28">
      <c r="I28" s="105"/>
    </row>
    <row r="29">
      <c r="I29" s="105"/>
    </row>
    <row r="30">
      <c r="I30" s="105"/>
    </row>
    <row r="31">
      <c r="I31" s="105"/>
    </row>
    <row r="32" ht="20.25" customHeight="1">
      <c r="A32" s="49" t="s">
        <v>50</v>
      </c>
      <c r="B32" s="49" t="s">
        <v>51</v>
      </c>
      <c r="C32" s="49" t="s">
        <v>52</v>
      </c>
      <c r="D32" s="49" t="s">
        <v>53</v>
      </c>
      <c r="E32" s="50" t="s">
        <v>54</v>
      </c>
      <c r="F32" s="49" t="s">
        <v>55</v>
      </c>
      <c r="G32" s="49" t="s">
        <v>56</v>
      </c>
      <c r="H32" s="49" t="s">
        <v>320</v>
      </c>
      <c r="I32" s="113" t="s">
        <v>321</v>
      </c>
    </row>
    <row r="33">
      <c r="A33" s="20">
        <v>2026.0</v>
      </c>
      <c r="B33" s="20">
        <v>1.0</v>
      </c>
      <c r="C33" s="20" t="s">
        <v>62</v>
      </c>
      <c r="D33" s="20" t="s">
        <v>63</v>
      </c>
      <c r="E33" s="20" t="s">
        <v>126</v>
      </c>
      <c r="F33" s="20" t="s">
        <v>322</v>
      </c>
      <c r="G33" s="20">
        <v>17.0</v>
      </c>
      <c r="H33" s="65">
        <v>0.83</v>
      </c>
      <c r="I33" s="98">
        <v>14.07</v>
      </c>
    </row>
    <row r="34">
      <c r="A34" s="20">
        <v>2026.0</v>
      </c>
      <c r="B34" s="20">
        <v>1.0</v>
      </c>
      <c r="C34" s="20" t="s">
        <v>62</v>
      </c>
      <c r="D34" s="20" t="s">
        <v>63</v>
      </c>
      <c r="E34" s="20" t="s">
        <v>143</v>
      </c>
      <c r="F34" s="20" t="s">
        <v>322</v>
      </c>
      <c r="G34" s="20">
        <v>17.0</v>
      </c>
      <c r="H34" s="65">
        <v>0.55</v>
      </c>
      <c r="I34" s="98">
        <v>9.38</v>
      </c>
    </row>
    <row r="35">
      <c r="A35" s="20">
        <v>2026.0</v>
      </c>
      <c r="B35" s="20">
        <v>2.0</v>
      </c>
      <c r="C35" s="20" t="s">
        <v>62</v>
      </c>
      <c r="D35" s="20" t="s">
        <v>63</v>
      </c>
      <c r="E35" s="20" t="s">
        <v>126</v>
      </c>
      <c r="F35" s="20" t="s">
        <v>322</v>
      </c>
      <c r="G35" s="20">
        <v>14.5</v>
      </c>
      <c r="H35" s="65">
        <v>0.83</v>
      </c>
      <c r="I35" s="98">
        <v>12.0</v>
      </c>
    </row>
    <row r="36">
      <c r="A36" s="20">
        <v>2026.0</v>
      </c>
      <c r="B36" s="20">
        <v>2.0</v>
      </c>
      <c r="C36" s="20" t="s">
        <v>62</v>
      </c>
      <c r="D36" s="20" t="s">
        <v>63</v>
      </c>
      <c r="E36" s="20" t="s">
        <v>143</v>
      </c>
      <c r="F36" s="20" t="s">
        <v>322</v>
      </c>
      <c r="G36" s="20">
        <v>14.5</v>
      </c>
      <c r="H36" s="65">
        <v>0.55</v>
      </c>
      <c r="I36" s="98">
        <v>8.0</v>
      </c>
    </row>
    <row r="37">
      <c r="A37" s="20">
        <v>2026.0</v>
      </c>
      <c r="B37" s="20">
        <v>3.0</v>
      </c>
      <c r="C37" s="20" t="s">
        <v>62</v>
      </c>
      <c r="D37" s="20" t="s">
        <v>63</v>
      </c>
      <c r="E37" s="20" t="s">
        <v>126</v>
      </c>
      <c r="F37" s="20" t="s">
        <v>322</v>
      </c>
      <c r="G37" s="20">
        <v>5.0</v>
      </c>
      <c r="H37" s="65">
        <v>0.83</v>
      </c>
      <c r="I37" s="98">
        <v>4.14</v>
      </c>
    </row>
    <row r="38">
      <c r="A38" s="20">
        <v>2026.0</v>
      </c>
      <c r="B38" s="20">
        <v>3.0</v>
      </c>
      <c r="C38" s="20" t="s">
        <v>62</v>
      </c>
      <c r="D38" s="20" t="s">
        <v>63</v>
      </c>
      <c r="E38" s="20" t="s">
        <v>143</v>
      </c>
      <c r="F38" s="20" t="s">
        <v>322</v>
      </c>
      <c r="G38" s="20">
        <v>5.0</v>
      </c>
      <c r="H38" s="65">
        <v>0.55</v>
      </c>
      <c r="I38" s="98">
        <v>2.76</v>
      </c>
    </row>
    <row r="39">
      <c r="A39" s="20">
        <v>2026.0</v>
      </c>
      <c r="B39" s="20">
        <v>1.0</v>
      </c>
      <c r="C39" s="20" t="s">
        <v>323</v>
      </c>
      <c r="D39" s="20" t="s">
        <v>324</v>
      </c>
      <c r="E39" s="20" t="s">
        <v>308</v>
      </c>
      <c r="F39" s="20" t="s">
        <v>322</v>
      </c>
      <c r="G39" s="20">
        <v>16.125</v>
      </c>
      <c r="H39" s="65">
        <v>34.48</v>
      </c>
      <c r="I39" s="98">
        <v>556.03</v>
      </c>
    </row>
    <row r="40">
      <c r="A40" s="20">
        <v>2026.0</v>
      </c>
      <c r="B40" s="20">
        <v>2.0</v>
      </c>
      <c r="C40" s="20" t="s">
        <v>323</v>
      </c>
      <c r="D40" s="20" t="s">
        <v>324</v>
      </c>
      <c r="E40" s="20" t="s">
        <v>308</v>
      </c>
      <c r="F40" s="20" t="s">
        <v>322</v>
      </c>
      <c r="G40" s="20">
        <v>13.0</v>
      </c>
      <c r="H40" s="65">
        <v>34.48</v>
      </c>
      <c r="I40" s="98">
        <v>448.28</v>
      </c>
    </row>
    <row r="41">
      <c r="A41" s="20">
        <v>2026.0</v>
      </c>
      <c r="B41" s="20">
        <v>3.0</v>
      </c>
      <c r="C41" s="20" t="s">
        <v>325</v>
      </c>
      <c r="D41" s="20" t="s">
        <v>324</v>
      </c>
      <c r="E41" s="20" t="s">
        <v>308</v>
      </c>
      <c r="F41" s="20" t="s">
        <v>322</v>
      </c>
      <c r="G41" s="20">
        <v>10.0</v>
      </c>
      <c r="H41" s="65">
        <v>34.48</v>
      </c>
      <c r="I41" s="98">
        <v>344.83</v>
      </c>
    </row>
    <row r="42">
      <c r="A42" s="20">
        <v>2026.0</v>
      </c>
      <c r="B42" s="20">
        <v>1.0</v>
      </c>
      <c r="C42" s="20" t="s">
        <v>76</v>
      </c>
      <c r="D42" s="20" t="s">
        <v>77</v>
      </c>
      <c r="E42" s="20" t="s">
        <v>152</v>
      </c>
      <c r="F42" s="20" t="s">
        <v>322</v>
      </c>
      <c r="G42" s="20">
        <v>5.0</v>
      </c>
      <c r="H42" s="65">
        <v>3.45</v>
      </c>
      <c r="I42" s="98">
        <v>17.24</v>
      </c>
    </row>
    <row r="43">
      <c r="A43" s="20">
        <v>2026.0</v>
      </c>
      <c r="B43" s="20">
        <v>2.0</v>
      </c>
      <c r="C43" s="20" t="s">
        <v>76</v>
      </c>
      <c r="D43" s="20" t="s">
        <v>77</v>
      </c>
      <c r="E43" s="20" t="s">
        <v>152</v>
      </c>
      <c r="F43" s="20" t="s">
        <v>322</v>
      </c>
      <c r="G43" s="20">
        <v>20.0</v>
      </c>
      <c r="H43" s="65">
        <v>3.45</v>
      </c>
      <c r="I43" s="98">
        <v>68.97</v>
      </c>
    </row>
    <row r="44">
      <c r="A44" s="20">
        <v>2026.0</v>
      </c>
      <c r="B44" s="20">
        <v>3.0</v>
      </c>
      <c r="C44" s="20" t="s">
        <v>76</v>
      </c>
      <c r="D44" s="20" t="s">
        <v>77</v>
      </c>
      <c r="E44" s="20" t="s">
        <v>152</v>
      </c>
      <c r="F44" s="20" t="s">
        <v>322</v>
      </c>
      <c r="G44" s="20">
        <v>22.0</v>
      </c>
      <c r="H44" s="65">
        <v>3.45</v>
      </c>
      <c r="I44" s="98">
        <v>75.86</v>
      </c>
    </row>
    <row r="45">
      <c r="A45" s="20">
        <v>2026.0</v>
      </c>
      <c r="B45" s="20">
        <v>1.0</v>
      </c>
      <c r="C45" s="20" t="s">
        <v>72</v>
      </c>
      <c r="D45" s="20" t="s">
        <v>73</v>
      </c>
      <c r="E45" s="20" t="s">
        <v>13</v>
      </c>
      <c r="F45" s="20" t="s">
        <v>322</v>
      </c>
      <c r="G45" s="20">
        <v>17.5</v>
      </c>
      <c r="H45" s="65">
        <v>17.79</v>
      </c>
      <c r="I45" s="98">
        <v>311.38</v>
      </c>
    </row>
    <row r="46">
      <c r="A46" s="20">
        <v>2026.0</v>
      </c>
      <c r="B46" s="20">
        <v>2.0</v>
      </c>
      <c r="C46" s="20" t="s">
        <v>72</v>
      </c>
      <c r="D46" s="20" t="s">
        <v>73</v>
      </c>
      <c r="E46" s="20" t="s">
        <v>13</v>
      </c>
      <c r="F46" s="20" t="s">
        <v>322</v>
      </c>
      <c r="G46" s="20">
        <v>19.0</v>
      </c>
      <c r="H46" s="65">
        <v>17.79</v>
      </c>
      <c r="I46" s="98">
        <v>338.07</v>
      </c>
    </row>
    <row r="47">
      <c r="A47" s="20">
        <v>2026.0</v>
      </c>
      <c r="B47" s="20">
        <v>1.0</v>
      </c>
      <c r="C47" s="20" t="s">
        <v>323</v>
      </c>
      <c r="D47" s="20" t="s">
        <v>308</v>
      </c>
      <c r="E47" s="20" t="s">
        <v>308</v>
      </c>
      <c r="F47" s="20" t="s">
        <v>322</v>
      </c>
      <c r="G47" s="20">
        <v>19.0</v>
      </c>
      <c r="H47" s="65">
        <v>9.1</v>
      </c>
      <c r="I47" s="98">
        <v>172.97</v>
      </c>
    </row>
    <row r="48">
      <c r="A48" s="20">
        <v>2026.0</v>
      </c>
      <c r="B48" s="20">
        <v>2.0</v>
      </c>
      <c r="C48" s="20" t="s">
        <v>323</v>
      </c>
      <c r="D48" s="20" t="s">
        <v>308</v>
      </c>
      <c r="E48" s="20" t="s">
        <v>308</v>
      </c>
      <c r="F48" s="20" t="s">
        <v>322</v>
      </c>
      <c r="G48" s="20">
        <v>19.0</v>
      </c>
      <c r="H48" s="65">
        <v>9.1</v>
      </c>
      <c r="I48" s="98">
        <v>172.97</v>
      </c>
    </row>
    <row r="49">
      <c r="A49" s="20">
        <v>2026.0</v>
      </c>
      <c r="B49" s="20">
        <v>3.0</v>
      </c>
      <c r="C49" s="20" t="s">
        <v>323</v>
      </c>
      <c r="D49" s="20" t="s">
        <v>308</v>
      </c>
      <c r="E49" s="20" t="s">
        <v>308</v>
      </c>
      <c r="F49" s="20" t="s">
        <v>322</v>
      </c>
      <c r="G49" s="20">
        <v>6.0</v>
      </c>
      <c r="H49" s="65">
        <v>9.1</v>
      </c>
      <c r="I49" s="98">
        <v>54.62</v>
      </c>
    </row>
    <row r="50">
      <c r="A50" s="20">
        <v>2026.0</v>
      </c>
      <c r="B50" s="20">
        <v>3.0</v>
      </c>
      <c r="C50" s="20" t="s">
        <v>325</v>
      </c>
      <c r="D50" s="20" t="s">
        <v>308</v>
      </c>
      <c r="E50" s="20" t="s">
        <v>308</v>
      </c>
      <c r="F50" s="20" t="s">
        <v>322</v>
      </c>
      <c r="G50" s="20">
        <v>11.0</v>
      </c>
      <c r="H50" s="65">
        <v>9.1</v>
      </c>
      <c r="I50" s="98">
        <v>100.14</v>
      </c>
    </row>
    <row r="51">
      <c r="A51" s="20">
        <v>2026.0</v>
      </c>
      <c r="B51" s="20">
        <v>1.0</v>
      </c>
      <c r="C51" s="20" t="s">
        <v>119</v>
      </c>
      <c r="D51" s="20" t="s">
        <v>120</v>
      </c>
      <c r="E51" s="20" t="s">
        <v>308</v>
      </c>
      <c r="F51" s="20" t="s">
        <v>322</v>
      </c>
      <c r="G51" s="20">
        <v>21.0</v>
      </c>
      <c r="H51" s="65">
        <v>10.62</v>
      </c>
      <c r="I51" s="98">
        <v>223.03</v>
      </c>
    </row>
    <row r="52">
      <c r="A52" s="20">
        <v>2026.0</v>
      </c>
      <c r="B52" s="20">
        <v>2.0</v>
      </c>
      <c r="C52" s="20" t="s">
        <v>119</v>
      </c>
      <c r="D52" s="20" t="s">
        <v>120</v>
      </c>
      <c r="E52" s="20" t="s">
        <v>308</v>
      </c>
      <c r="F52" s="20" t="s">
        <v>322</v>
      </c>
      <c r="G52" s="20">
        <v>15.0</v>
      </c>
      <c r="H52" s="65">
        <v>10.62</v>
      </c>
      <c r="I52" s="98">
        <v>159.31</v>
      </c>
    </row>
    <row r="53">
      <c r="A53" s="20">
        <v>2026.0</v>
      </c>
      <c r="B53" s="20">
        <v>3.0</v>
      </c>
      <c r="C53" s="20" t="s">
        <v>119</v>
      </c>
      <c r="D53" s="20" t="s">
        <v>120</v>
      </c>
      <c r="E53" s="20" t="s">
        <v>308</v>
      </c>
      <c r="F53" s="20" t="s">
        <v>322</v>
      </c>
      <c r="G53" s="20">
        <v>19.5</v>
      </c>
      <c r="H53" s="65">
        <v>10.62</v>
      </c>
      <c r="I53" s="98">
        <v>207.1</v>
      </c>
    </row>
    <row r="54">
      <c r="A54" s="20">
        <v>2026.0</v>
      </c>
      <c r="B54" s="20">
        <v>1.0</v>
      </c>
      <c r="C54" s="20" t="s">
        <v>99</v>
      </c>
      <c r="D54" s="20" t="s">
        <v>83</v>
      </c>
      <c r="E54" s="20" t="s">
        <v>176</v>
      </c>
      <c r="F54" s="20" t="s">
        <v>322</v>
      </c>
      <c r="G54" s="20">
        <v>2.5</v>
      </c>
      <c r="H54" s="65">
        <v>4.76</v>
      </c>
      <c r="I54" s="98">
        <v>11.9</v>
      </c>
    </row>
    <row r="55">
      <c r="A55" s="20">
        <v>2026.0</v>
      </c>
      <c r="B55" s="20">
        <v>1.0</v>
      </c>
      <c r="C55" s="20" t="s">
        <v>99</v>
      </c>
      <c r="D55" s="20" t="s">
        <v>83</v>
      </c>
      <c r="E55" s="20" t="s">
        <v>176</v>
      </c>
      <c r="F55" s="20" t="s">
        <v>322</v>
      </c>
      <c r="G55" s="20">
        <v>16.5</v>
      </c>
      <c r="H55" s="65">
        <v>4.76</v>
      </c>
      <c r="I55" s="98">
        <v>78.52</v>
      </c>
    </row>
    <row r="56">
      <c r="A56" s="20">
        <v>2026.0</v>
      </c>
      <c r="B56" s="20">
        <v>2.0</v>
      </c>
      <c r="C56" s="20" t="s">
        <v>99</v>
      </c>
      <c r="D56" s="20" t="s">
        <v>83</v>
      </c>
      <c r="E56" s="20" t="s">
        <v>176</v>
      </c>
      <c r="F56" s="20" t="s">
        <v>322</v>
      </c>
      <c r="G56" s="20">
        <v>20.0</v>
      </c>
      <c r="H56" s="65">
        <v>4.76</v>
      </c>
      <c r="I56" s="98">
        <v>95.17</v>
      </c>
    </row>
    <row r="57">
      <c r="A57" s="20">
        <v>2026.0</v>
      </c>
      <c r="B57" s="20">
        <v>3.0</v>
      </c>
      <c r="C57" s="20" t="s">
        <v>99</v>
      </c>
      <c r="D57" s="20" t="s">
        <v>83</v>
      </c>
      <c r="E57" s="20" t="s">
        <v>176</v>
      </c>
      <c r="F57" s="20" t="s">
        <v>322</v>
      </c>
      <c r="G57" s="20">
        <v>2.5</v>
      </c>
      <c r="H57" s="65">
        <v>4.76</v>
      </c>
      <c r="I57" s="98">
        <v>11.9</v>
      </c>
    </row>
    <row r="58">
      <c r="A58" s="20">
        <v>2026.0</v>
      </c>
      <c r="B58" s="20">
        <v>3.0</v>
      </c>
      <c r="C58" s="20" t="s">
        <v>99</v>
      </c>
      <c r="D58" s="20" t="s">
        <v>83</v>
      </c>
      <c r="E58" s="20" t="s">
        <v>176</v>
      </c>
      <c r="F58" s="20" t="s">
        <v>322</v>
      </c>
      <c r="G58" s="20">
        <v>6.5</v>
      </c>
      <c r="H58" s="65">
        <v>4.76</v>
      </c>
      <c r="I58" s="98">
        <v>30.93</v>
      </c>
    </row>
    <row r="59">
      <c r="A59" s="20">
        <v>2026.0</v>
      </c>
      <c r="B59" s="20">
        <v>1.0</v>
      </c>
      <c r="C59" s="20" t="s">
        <v>114</v>
      </c>
      <c r="D59" s="20" t="s">
        <v>101</v>
      </c>
      <c r="E59" s="20" t="s">
        <v>88</v>
      </c>
      <c r="F59" s="20" t="s">
        <v>322</v>
      </c>
      <c r="G59" s="20">
        <v>19.5</v>
      </c>
      <c r="H59" s="65">
        <v>5.03</v>
      </c>
      <c r="I59" s="98">
        <v>98.17</v>
      </c>
    </row>
    <row r="60">
      <c r="A60" s="20">
        <v>2026.0</v>
      </c>
      <c r="B60" s="20">
        <v>2.0</v>
      </c>
      <c r="C60" s="20" t="s">
        <v>114</v>
      </c>
      <c r="D60" s="20" t="s">
        <v>101</v>
      </c>
      <c r="E60" s="20" t="s">
        <v>88</v>
      </c>
      <c r="F60" s="20" t="s">
        <v>322</v>
      </c>
      <c r="G60" s="20">
        <v>4.5</v>
      </c>
      <c r="H60" s="65">
        <v>5.03</v>
      </c>
      <c r="I60" s="98">
        <v>22.66</v>
      </c>
    </row>
    <row r="61">
      <c r="A61" s="20">
        <v>2026.0</v>
      </c>
      <c r="B61" s="20">
        <v>3.0</v>
      </c>
      <c r="C61" s="20" t="s">
        <v>114</v>
      </c>
      <c r="D61" s="20" t="s">
        <v>101</v>
      </c>
      <c r="E61" s="20" t="s">
        <v>88</v>
      </c>
      <c r="F61" s="20" t="s">
        <v>322</v>
      </c>
      <c r="G61" s="20">
        <v>21.0</v>
      </c>
      <c r="H61" s="65">
        <v>5.03</v>
      </c>
      <c r="I61" s="98">
        <v>105.72</v>
      </c>
    </row>
    <row r="62">
      <c r="A62" s="20">
        <v>2026.0</v>
      </c>
      <c r="B62" s="20">
        <v>1.0</v>
      </c>
      <c r="C62" s="20" t="s">
        <v>117</v>
      </c>
      <c r="D62" s="20" t="s">
        <v>118</v>
      </c>
      <c r="E62" s="20" t="s">
        <v>13</v>
      </c>
      <c r="F62" s="20" t="s">
        <v>322</v>
      </c>
      <c r="G62" s="20">
        <v>21.0</v>
      </c>
      <c r="H62" s="65">
        <v>6.76</v>
      </c>
      <c r="I62" s="98">
        <v>141.93</v>
      </c>
    </row>
    <row r="63">
      <c r="A63" s="20">
        <v>2026.0</v>
      </c>
      <c r="B63" s="20">
        <v>1.0</v>
      </c>
      <c r="C63" s="20" t="s">
        <v>117</v>
      </c>
      <c r="D63" s="20" t="s">
        <v>118</v>
      </c>
      <c r="E63" s="20" t="s">
        <v>176</v>
      </c>
      <c r="F63" s="20" t="s">
        <v>322</v>
      </c>
      <c r="G63" s="20">
        <v>21.0</v>
      </c>
      <c r="H63" s="65">
        <v>3.31</v>
      </c>
      <c r="I63" s="98">
        <v>69.52</v>
      </c>
    </row>
    <row r="64">
      <c r="A64" s="20">
        <v>2026.0</v>
      </c>
      <c r="B64" s="20">
        <v>2.0</v>
      </c>
      <c r="C64" s="20" t="s">
        <v>117</v>
      </c>
      <c r="D64" s="20" t="s">
        <v>118</v>
      </c>
      <c r="E64" s="20" t="s">
        <v>13</v>
      </c>
      <c r="F64" s="20" t="s">
        <v>322</v>
      </c>
      <c r="G64" s="20">
        <v>20.0</v>
      </c>
      <c r="H64" s="65">
        <v>6.76</v>
      </c>
      <c r="I64" s="98">
        <v>135.17</v>
      </c>
    </row>
    <row r="65">
      <c r="A65" s="20">
        <v>2026.0</v>
      </c>
      <c r="B65" s="20">
        <v>2.0</v>
      </c>
      <c r="C65" s="20" t="s">
        <v>117</v>
      </c>
      <c r="D65" s="20" t="s">
        <v>118</v>
      </c>
      <c r="E65" s="20" t="s">
        <v>176</v>
      </c>
      <c r="F65" s="20" t="s">
        <v>322</v>
      </c>
      <c r="G65" s="20">
        <v>20.0</v>
      </c>
      <c r="H65" s="65">
        <v>3.31</v>
      </c>
      <c r="I65" s="98">
        <v>66.21</v>
      </c>
    </row>
    <row r="66">
      <c r="A66" s="20">
        <v>2026.0</v>
      </c>
      <c r="B66" s="20">
        <v>3.0</v>
      </c>
      <c r="C66" s="20" t="s">
        <v>117</v>
      </c>
      <c r="D66" s="20" t="s">
        <v>118</v>
      </c>
      <c r="E66" s="20" t="s">
        <v>176</v>
      </c>
      <c r="F66" s="20" t="s">
        <v>322</v>
      </c>
      <c r="G66" s="20">
        <v>7.0</v>
      </c>
      <c r="H66" s="65">
        <v>3.31</v>
      </c>
      <c r="I66" s="98">
        <v>23.17</v>
      </c>
    </row>
    <row r="67">
      <c r="A67" s="20">
        <v>2026.0</v>
      </c>
      <c r="B67" s="20">
        <v>1.0</v>
      </c>
      <c r="C67" s="20" t="s">
        <v>326</v>
      </c>
      <c r="D67" s="20" t="s">
        <v>327</v>
      </c>
      <c r="E67" s="20" t="s">
        <v>308</v>
      </c>
      <c r="F67" s="20" t="s">
        <v>322</v>
      </c>
      <c r="G67" s="20">
        <v>18.0</v>
      </c>
      <c r="H67" s="65">
        <v>2.76</v>
      </c>
      <c r="I67" s="98">
        <v>49.66</v>
      </c>
    </row>
    <row r="68">
      <c r="A68" s="20">
        <v>2026.0</v>
      </c>
      <c r="B68" s="20">
        <v>2.0</v>
      </c>
      <c r="C68" s="20" t="s">
        <v>326</v>
      </c>
      <c r="D68" s="20" t="s">
        <v>327</v>
      </c>
      <c r="E68" s="20" t="s">
        <v>308</v>
      </c>
      <c r="F68" s="20" t="s">
        <v>322</v>
      </c>
      <c r="G68" s="20">
        <v>14.5</v>
      </c>
      <c r="H68" s="65">
        <v>2.76</v>
      </c>
      <c r="I68" s="98">
        <v>40.0</v>
      </c>
    </row>
    <row r="69">
      <c r="A69" s="20">
        <v>2026.0</v>
      </c>
      <c r="B69" s="20">
        <v>3.0</v>
      </c>
      <c r="C69" s="20" t="s">
        <v>326</v>
      </c>
      <c r="D69" s="20" t="s">
        <v>327</v>
      </c>
      <c r="E69" s="20" t="s">
        <v>308</v>
      </c>
      <c r="F69" s="20" t="s">
        <v>322</v>
      </c>
      <c r="G69" s="20">
        <v>16.0</v>
      </c>
      <c r="H69" s="65">
        <v>2.76</v>
      </c>
      <c r="I69" s="98">
        <v>44.14</v>
      </c>
    </row>
    <row r="70">
      <c r="A70" s="20">
        <v>2026.0</v>
      </c>
      <c r="B70" s="20">
        <v>1.0</v>
      </c>
      <c r="C70" s="20" t="s">
        <v>122</v>
      </c>
      <c r="D70" s="20" t="s">
        <v>123</v>
      </c>
      <c r="E70" s="20" t="s">
        <v>13</v>
      </c>
      <c r="F70" s="20" t="s">
        <v>322</v>
      </c>
      <c r="G70" s="20">
        <v>21.0</v>
      </c>
      <c r="H70" s="65">
        <v>6.83</v>
      </c>
      <c r="I70" s="98">
        <v>143.38</v>
      </c>
    </row>
    <row r="71">
      <c r="A71" s="20">
        <v>2026.0</v>
      </c>
      <c r="B71" s="20">
        <v>2.0</v>
      </c>
      <c r="C71" s="20" t="s">
        <v>122</v>
      </c>
      <c r="D71" s="20" t="s">
        <v>123</v>
      </c>
      <c r="E71" s="20" t="s">
        <v>13</v>
      </c>
      <c r="F71" s="20" t="s">
        <v>322</v>
      </c>
      <c r="G71" s="20">
        <v>20.0</v>
      </c>
      <c r="H71" s="65">
        <v>6.83</v>
      </c>
      <c r="I71" s="98">
        <v>136.55</v>
      </c>
    </row>
    <row r="72">
      <c r="A72" s="20">
        <v>2026.0</v>
      </c>
      <c r="B72" s="20">
        <v>1.0</v>
      </c>
      <c r="C72" s="20" t="s">
        <v>132</v>
      </c>
      <c r="D72" s="20" t="s">
        <v>133</v>
      </c>
      <c r="E72" s="20" t="s">
        <v>110</v>
      </c>
      <c r="F72" s="20" t="s">
        <v>322</v>
      </c>
      <c r="G72" s="20">
        <v>17.0</v>
      </c>
      <c r="H72" s="65">
        <v>3.79</v>
      </c>
      <c r="I72" s="98">
        <v>64.48</v>
      </c>
    </row>
    <row r="73">
      <c r="A73" s="20">
        <v>2026.0</v>
      </c>
      <c r="B73" s="20">
        <v>1.0</v>
      </c>
      <c r="C73" s="20" t="s">
        <v>132</v>
      </c>
      <c r="D73" s="20" t="s">
        <v>133</v>
      </c>
      <c r="E73" s="20" t="s">
        <v>133</v>
      </c>
      <c r="F73" s="20" t="s">
        <v>322</v>
      </c>
      <c r="G73" s="20">
        <v>17.0</v>
      </c>
      <c r="H73" s="65">
        <v>3.79</v>
      </c>
      <c r="I73" s="98">
        <v>64.48</v>
      </c>
    </row>
    <row r="74">
      <c r="A74" s="20">
        <v>2026.0</v>
      </c>
      <c r="B74" s="20">
        <v>2.0</v>
      </c>
      <c r="C74" s="20" t="s">
        <v>132</v>
      </c>
      <c r="D74" s="20" t="s">
        <v>133</v>
      </c>
      <c r="E74" s="20" t="s">
        <v>110</v>
      </c>
      <c r="F74" s="20" t="s">
        <v>322</v>
      </c>
      <c r="G74" s="20">
        <v>10.5</v>
      </c>
      <c r="H74" s="65">
        <v>3.79</v>
      </c>
      <c r="I74" s="98">
        <v>39.83</v>
      </c>
    </row>
    <row r="75">
      <c r="A75" s="20">
        <v>2026.0</v>
      </c>
      <c r="B75" s="20">
        <v>2.0</v>
      </c>
      <c r="C75" s="20" t="s">
        <v>132</v>
      </c>
      <c r="D75" s="20" t="s">
        <v>133</v>
      </c>
      <c r="E75" s="20" t="s">
        <v>133</v>
      </c>
      <c r="F75" s="20" t="s">
        <v>322</v>
      </c>
      <c r="G75" s="20">
        <v>10.5</v>
      </c>
      <c r="H75" s="65">
        <v>3.79</v>
      </c>
      <c r="I75" s="98">
        <v>39.83</v>
      </c>
    </row>
    <row r="76">
      <c r="A76" s="20">
        <v>2026.0</v>
      </c>
      <c r="B76" s="20">
        <v>1.0</v>
      </c>
      <c r="C76" s="20" t="s">
        <v>62</v>
      </c>
      <c r="D76" s="20" t="s">
        <v>126</v>
      </c>
      <c r="E76" s="20" t="s">
        <v>126</v>
      </c>
      <c r="F76" s="20" t="s">
        <v>322</v>
      </c>
      <c r="G76" s="20">
        <v>17.0</v>
      </c>
      <c r="H76" s="65">
        <v>0.34</v>
      </c>
      <c r="I76" s="98">
        <v>5.86</v>
      </c>
    </row>
    <row r="77">
      <c r="A77" s="20">
        <v>2026.0</v>
      </c>
      <c r="B77" s="20">
        <v>1.0</v>
      </c>
      <c r="C77" s="20" t="s">
        <v>62</v>
      </c>
      <c r="D77" s="20" t="s">
        <v>126</v>
      </c>
      <c r="E77" s="20" t="s">
        <v>143</v>
      </c>
      <c r="F77" s="20" t="s">
        <v>322</v>
      </c>
      <c r="G77" s="20">
        <v>17.0</v>
      </c>
      <c r="H77" s="65">
        <v>0.21</v>
      </c>
      <c r="I77" s="98">
        <v>3.52</v>
      </c>
    </row>
    <row r="78">
      <c r="A78" s="20">
        <v>2026.0</v>
      </c>
      <c r="B78" s="20">
        <v>2.0</v>
      </c>
      <c r="C78" s="20" t="s">
        <v>62</v>
      </c>
      <c r="D78" s="20" t="s">
        <v>126</v>
      </c>
      <c r="E78" s="20" t="s">
        <v>126</v>
      </c>
      <c r="F78" s="20" t="s">
        <v>322</v>
      </c>
      <c r="G78" s="20">
        <v>20.0</v>
      </c>
      <c r="H78" s="65">
        <v>0.34</v>
      </c>
      <c r="I78" s="98">
        <v>6.9</v>
      </c>
    </row>
    <row r="79">
      <c r="A79" s="20">
        <v>2026.0</v>
      </c>
      <c r="B79" s="20">
        <v>2.0</v>
      </c>
      <c r="C79" s="20" t="s">
        <v>62</v>
      </c>
      <c r="D79" s="20" t="s">
        <v>126</v>
      </c>
      <c r="E79" s="20" t="s">
        <v>143</v>
      </c>
      <c r="F79" s="20" t="s">
        <v>322</v>
      </c>
      <c r="G79" s="20">
        <v>20.0</v>
      </c>
      <c r="H79" s="65">
        <v>0.21</v>
      </c>
      <c r="I79" s="98">
        <v>4.14</v>
      </c>
    </row>
    <row r="80">
      <c r="A80" s="20">
        <v>2026.0</v>
      </c>
      <c r="B80" s="20">
        <v>3.0</v>
      </c>
      <c r="C80" s="20" t="s">
        <v>62</v>
      </c>
      <c r="D80" s="20" t="s">
        <v>126</v>
      </c>
      <c r="E80" s="20" t="s">
        <v>126</v>
      </c>
      <c r="F80" s="20" t="s">
        <v>322</v>
      </c>
      <c r="G80" s="20">
        <v>22.0</v>
      </c>
      <c r="H80" s="65">
        <v>0.34</v>
      </c>
      <c r="I80" s="98">
        <v>7.59</v>
      </c>
    </row>
    <row r="81">
      <c r="A81" s="20">
        <v>2026.0</v>
      </c>
      <c r="B81" s="20">
        <v>3.0</v>
      </c>
      <c r="C81" s="20" t="s">
        <v>62</v>
      </c>
      <c r="D81" s="20" t="s">
        <v>126</v>
      </c>
      <c r="E81" s="20" t="s">
        <v>143</v>
      </c>
      <c r="F81" s="20" t="s">
        <v>322</v>
      </c>
      <c r="G81" s="20">
        <v>22.0</v>
      </c>
      <c r="H81" s="65">
        <v>0.21</v>
      </c>
      <c r="I81" s="98">
        <v>4.55</v>
      </c>
    </row>
    <row r="82">
      <c r="A82" s="20">
        <v>2026.0</v>
      </c>
      <c r="B82" s="20">
        <v>1.0</v>
      </c>
      <c r="C82" s="20" t="s">
        <v>134</v>
      </c>
      <c r="D82" s="20" t="s">
        <v>107</v>
      </c>
      <c r="E82" s="20" t="s">
        <v>126</v>
      </c>
      <c r="F82" s="20" t="s">
        <v>322</v>
      </c>
      <c r="G82" s="20">
        <v>21.0</v>
      </c>
      <c r="H82" s="65">
        <v>4.48</v>
      </c>
      <c r="I82" s="98">
        <v>94.14</v>
      </c>
    </row>
    <row r="83">
      <c r="A83" s="20">
        <v>2026.0</v>
      </c>
      <c r="B83" s="20">
        <v>2.0</v>
      </c>
      <c r="C83" s="20" t="s">
        <v>134</v>
      </c>
      <c r="D83" s="20" t="s">
        <v>107</v>
      </c>
      <c r="E83" s="20" t="s">
        <v>126</v>
      </c>
      <c r="F83" s="20" t="s">
        <v>322</v>
      </c>
      <c r="G83" s="20">
        <v>20.0</v>
      </c>
      <c r="H83" s="65">
        <v>4.48</v>
      </c>
      <c r="I83" s="98">
        <v>89.66</v>
      </c>
    </row>
    <row r="84">
      <c r="A84" s="20">
        <v>2026.0</v>
      </c>
      <c r="B84" s="20">
        <v>3.0</v>
      </c>
      <c r="C84" s="20" t="s">
        <v>134</v>
      </c>
      <c r="D84" s="20" t="s">
        <v>107</v>
      </c>
      <c r="E84" s="20" t="s">
        <v>126</v>
      </c>
      <c r="F84" s="20" t="s">
        <v>322</v>
      </c>
      <c r="G84" s="20">
        <v>22.0</v>
      </c>
      <c r="H84" s="65">
        <v>4.48</v>
      </c>
      <c r="I84" s="98">
        <v>98.62</v>
      </c>
    </row>
    <row r="85">
      <c r="A85" s="20">
        <v>2026.0</v>
      </c>
      <c r="B85" s="20">
        <v>1.0</v>
      </c>
      <c r="C85" s="20" t="s">
        <v>329</v>
      </c>
      <c r="D85" s="20" t="s">
        <v>330</v>
      </c>
      <c r="E85" s="20" t="s">
        <v>308</v>
      </c>
      <c r="F85" s="20" t="s">
        <v>322</v>
      </c>
      <c r="G85" s="20">
        <v>6.5</v>
      </c>
      <c r="H85" s="65">
        <v>6.9</v>
      </c>
      <c r="I85" s="98">
        <v>44.83</v>
      </c>
    </row>
    <row r="86">
      <c r="A86" s="20">
        <v>2026.0</v>
      </c>
      <c r="B86" s="20">
        <v>1.0</v>
      </c>
      <c r="C86" s="20" t="s">
        <v>329</v>
      </c>
      <c r="D86" s="20" t="s">
        <v>330</v>
      </c>
      <c r="E86" s="20" t="s">
        <v>308</v>
      </c>
      <c r="F86" s="20" t="s">
        <v>322</v>
      </c>
      <c r="G86" s="20">
        <v>7.0</v>
      </c>
      <c r="H86" s="65">
        <v>6.9</v>
      </c>
      <c r="I86" s="98">
        <v>48.28</v>
      </c>
    </row>
    <row r="87">
      <c r="A87" s="20">
        <v>2026.0</v>
      </c>
      <c r="B87" s="20">
        <v>2.0</v>
      </c>
      <c r="C87" s="20" t="s">
        <v>329</v>
      </c>
      <c r="D87" s="20" t="s">
        <v>330</v>
      </c>
      <c r="E87" s="20" t="s">
        <v>308</v>
      </c>
      <c r="F87" s="20" t="s">
        <v>322</v>
      </c>
      <c r="G87" s="20">
        <v>12.0</v>
      </c>
      <c r="H87" s="65">
        <v>6.9</v>
      </c>
      <c r="I87" s="98">
        <v>82.76</v>
      </c>
    </row>
    <row r="88">
      <c r="A88" s="20">
        <v>2026.0</v>
      </c>
      <c r="B88" s="20">
        <v>3.0</v>
      </c>
      <c r="C88" s="20" t="s">
        <v>329</v>
      </c>
      <c r="D88" s="20" t="s">
        <v>330</v>
      </c>
      <c r="E88" s="20" t="s">
        <v>308</v>
      </c>
      <c r="F88" s="20" t="s">
        <v>322</v>
      </c>
      <c r="G88" s="20">
        <v>12.5</v>
      </c>
      <c r="H88" s="65">
        <v>6.9</v>
      </c>
      <c r="I88" s="98">
        <v>86.21</v>
      </c>
    </row>
    <row r="89">
      <c r="A89" s="20">
        <v>2026.0</v>
      </c>
      <c r="B89" s="20">
        <v>1.0</v>
      </c>
      <c r="C89" s="20" t="s">
        <v>135</v>
      </c>
      <c r="D89" s="20" t="s">
        <v>22</v>
      </c>
      <c r="E89" s="20" t="s">
        <v>308</v>
      </c>
      <c r="F89" s="20" t="s">
        <v>322</v>
      </c>
      <c r="G89" s="20">
        <v>17.0</v>
      </c>
      <c r="H89" s="65">
        <v>4.14</v>
      </c>
      <c r="I89" s="98">
        <v>70.34</v>
      </c>
    </row>
    <row r="90">
      <c r="A90" s="20">
        <v>2026.0</v>
      </c>
      <c r="B90" s="20">
        <v>2.0</v>
      </c>
      <c r="C90" s="20" t="s">
        <v>135</v>
      </c>
      <c r="D90" s="20" t="s">
        <v>22</v>
      </c>
      <c r="E90" s="20" t="s">
        <v>308</v>
      </c>
      <c r="F90" s="20" t="s">
        <v>322</v>
      </c>
      <c r="G90" s="20">
        <v>20.0</v>
      </c>
      <c r="H90" s="65">
        <v>4.14</v>
      </c>
      <c r="I90" s="98">
        <v>82.76</v>
      </c>
    </row>
    <row r="91">
      <c r="A91" s="20">
        <v>2026.0</v>
      </c>
      <c r="B91" s="20">
        <v>3.0</v>
      </c>
      <c r="C91" s="20" t="s">
        <v>135</v>
      </c>
      <c r="D91" s="20" t="s">
        <v>22</v>
      </c>
      <c r="E91" s="20" t="s">
        <v>308</v>
      </c>
      <c r="F91" s="20" t="s">
        <v>322</v>
      </c>
      <c r="G91" s="20">
        <v>22.0</v>
      </c>
      <c r="H91" s="65">
        <v>4.14</v>
      </c>
      <c r="I91" s="98">
        <v>91.03</v>
      </c>
    </row>
    <row r="92">
      <c r="A92" s="20">
        <v>2026.0</v>
      </c>
      <c r="B92" s="20">
        <v>1.0</v>
      </c>
      <c r="C92" s="20" t="s">
        <v>331</v>
      </c>
      <c r="D92" s="20" t="s">
        <v>332</v>
      </c>
      <c r="E92" s="20" t="s">
        <v>308</v>
      </c>
      <c r="F92" s="20" t="s">
        <v>322</v>
      </c>
      <c r="G92" s="20">
        <v>4.5</v>
      </c>
      <c r="H92" s="65">
        <v>10.48</v>
      </c>
      <c r="I92" s="98">
        <v>47.17</v>
      </c>
    </row>
    <row r="93">
      <c r="A93" s="20">
        <v>2026.0</v>
      </c>
      <c r="B93" s="20">
        <v>1.0</v>
      </c>
      <c r="C93" s="20" t="s">
        <v>333</v>
      </c>
      <c r="D93" s="20" t="s">
        <v>332</v>
      </c>
      <c r="E93" s="20" t="s">
        <v>308</v>
      </c>
      <c r="F93" s="20" t="s">
        <v>322</v>
      </c>
      <c r="G93" s="20">
        <v>9.0</v>
      </c>
      <c r="H93" s="65">
        <v>10.48</v>
      </c>
      <c r="I93" s="98">
        <v>94.34</v>
      </c>
    </row>
    <row r="94">
      <c r="A94" s="20">
        <v>2026.0</v>
      </c>
      <c r="B94" s="20">
        <v>2.0</v>
      </c>
      <c r="C94" s="20" t="s">
        <v>331</v>
      </c>
      <c r="D94" s="20" t="s">
        <v>332</v>
      </c>
      <c r="E94" s="20" t="s">
        <v>308</v>
      </c>
      <c r="F94" s="20" t="s">
        <v>322</v>
      </c>
      <c r="G94" s="20">
        <v>4.0</v>
      </c>
      <c r="H94" s="65">
        <v>10.48</v>
      </c>
      <c r="I94" s="98">
        <v>41.93</v>
      </c>
    </row>
    <row r="95">
      <c r="A95" s="20">
        <v>2026.0</v>
      </c>
      <c r="B95" s="20">
        <v>2.0</v>
      </c>
      <c r="C95" s="20" t="s">
        <v>333</v>
      </c>
      <c r="D95" s="20" t="s">
        <v>332</v>
      </c>
      <c r="E95" s="20" t="s">
        <v>308</v>
      </c>
      <c r="F95" s="20" t="s">
        <v>322</v>
      </c>
      <c r="G95" s="20">
        <v>11.0</v>
      </c>
      <c r="H95" s="65">
        <v>10.48</v>
      </c>
      <c r="I95" s="98">
        <v>115.31</v>
      </c>
    </row>
    <row r="96">
      <c r="A96" s="20">
        <v>2026.0</v>
      </c>
      <c r="B96" s="20">
        <v>3.0</v>
      </c>
      <c r="C96" s="20" t="s">
        <v>331</v>
      </c>
      <c r="D96" s="20" t="s">
        <v>332</v>
      </c>
      <c r="E96" s="20" t="s">
        <v>308</v>
      </c>
      <c r="F96" s="20" t="s">
        <v>322</v>
      </c>
      <c r="G96" s="20">
        <v>9.0</v>
      </c>
      <c r="H96" s="65">
        <v>10.48</v>
      </c>
      <c r="I96" s="98">
        <v>94.34</v>
      </c>
    </row>
    <row r="97">
      <c r="A97" s="20">
        <v>2026.0</v>
      </c>
      <c r="B97" s="20">
        <v>3.0</v>
      </c>
      <c r="C97" s="20" t="s">
        <v>333</v>
      </c>
      <c r="D97" s="20" t="s">
        <v>332</v>
      </c>
      <c r="E97" s="20" t="s">
        <v>308</v>
      </c>
      <c r="F97" s="20" t="s">
        <v>322</v>
      </c>
      <c r="G97" s="20">
        <v>10.0</v>
      </c>
      <c r="H97" s="65">
        <v>10.48</v>
      </c>
      <c r="I97" s="98">
        <v>104.83</v>
      </c>
    </row>
    <row r="98">
      <c r="A98" s="20">
        <v>2026.0</v>
      </c>
      <c r="B98" s="20">
        <v>2.0</v>
      </c>
      <c r="C98" s="20" t="s">
        <v>84</v>
      </c>
      <c r="D98" s="20" t="s">
        <v>85</v>
      </c>
      <c r="E98" s="20" t="s">
        <v>312</v>
      </c>
      <c r="F98" s="20" t="s">
        <v>322</v>
      </c>
      <c r="G98" s="20">
        <v>9.0</v>
      </c>
      <c r="H98" s="65">
        <v>0.0</v>
      </c>
      <c r="I98" s="98">
        <v>40.97</v>
      </c>
    </row>
    <row r="99">
      <c r="A99" s="20">
        <v>2026.0</v>
      </c>
      <c r="B99" s="20">
        <v>3.0</v>
      </c>
      <c r="C99" s="20" t="s">
        <v>84</v>
      </c>
      <c r="D99" s="20" t="s">
        <v>85</v>
      </c>
      <c r="E99" s="20" t="s">
        <v>312</v>
      </c>
      <c r="F99" s="20" t="s">
        <v>322</v>
      </c>
      <c r="G99" s="20">
        <v>20.0</v>
      </c>
      <c r="H99" s="65">
        <v>0.0</v>
      </c>
      <c r="I99" s="98">
        <v>91.03</v>
      </c>
    </row>
    <row r="100">
      <c r="A100" s="20">
        <v>2026.0</v>
      </c>
      <c r="B100" s="20">
        <v>1.0</v>
      </c>
      <c r="C100" s="20" t="s">
        <v>62</v>
      </c>
      <c r="D100" s="20" t="s">
        <v>143</v>
      </c>
      <c r="E100" s="20" t="s">
        <v>126</v>
      </c>
      <c r="F100" s="20" t="s">
        <v>322</v>
      </c>
      <c r="G100" s="20">
        <v>19.0</v>
      </c>
      <c r="H100" s="65">
        <v>0.83</v>
      </c>
      <c r="I100" s="98">
        <v>15.72</v>
      </c>
    </row>
    <row r="101">
      <c r="A101" s="20">
        <v>2026.0</v>
      </c>
      <c r="B101" s="20">
        <v>1.0</v>
      </c>
      <c r="C101" s="20" t="s">
        <v>62</v>
      </c>
      <c r="D101" s="20" t="s">
        <v>143</v>
      </c>
      <c r="E101" s="20" t="s">
        <v>143</v>
      </c>
      <c r="F101" s="20" t="s">
        <v>322</v>
      </c>
      <c r="G101" s="20">
        <v>19.0</v>
      </c>
      <c r="H101" s="65">
        <v>0.55</v>
      </c>
      <c r="I101" s="98">
        <v>10.48</v>
      </c>
    </row>
    <row r="102">
      <c r="A102" s="20">
        <v>2026.0</v>
      </c>
      <c r="B102" s="20">
        <v>2.0</v>
      </c>
      <c r="C102" s="20" t="s">
        <v>62</v>
      </c>
      <c r="D102" s="20" t="s">
        <v>143</v>
      </c>
      <c r="E102" s="20" t="s">
        <v>126</v>
      </c>
      <c r="F102" s="20" t="s">
        <v>322</v>
      </c>
      <c r="G102" s="20">
        <v>20.0</v>
      </c>
      <c r="H102" s="65">
        <v>0.83</v>
      </c>
      <c r="I102" s="98">
        <v>16.55</v>
      </c>
    </row>
    <row r="103">
      <c r="A103" s="20">
        <v>2026.0</v>
      </c>
      <c r="B103" s="20">
        <v>2.0</v>
      </c>
      <c r="C103" s="20" t="s">
        <v>62</v>
      </c>
      <c r="D103" s="20" t="s">
        <v>143</v>
      </c>
      <c r="E103" s="20" t="s">
        <v>143</v>
      </c>
      <c r="F103" s="20" t="s">
        <v>322</v>
      </c>
      <c r="G103" s="20">
        <v>20.0</v>
      </c>
      <c r="H103" s="65">
        <v>0.55</v>
      </c>
      <c r="I103" s="98">
        <v>11.03</v>
      </c>
    </row>
    <row r="104">
      <c r="A104" s="20">
        <v>2026.0</v>
      </c>
      <c r="B104" s="20">
        <v>3.0</v>
      </c>
      <c r="C104" s="20" t="s">
        <v>62</v>
      </c>
      <c r="D104" s="20" t="s">
        <v>143</v>
      </c>
      <c r="E104" s="20" t="s">
        <v>126</v>
      </c>
      <c r="F104" s="20" t="s">
        <v>322</v>
      </c>
      <c r="G104" s="20">
        <v>21.0</v>
      </c>
      <c r="H104" s="65">
        <v>0.83</v>
      </c>
      <c r="I104" s="98">
        <v>17.38</v>
      </c>
    </row>
    <row r="105">
      <c r="A105" s="20">
        <v>2026.0</v>
      </c>
      <c r="B105" s="20">
        <v>3.0</v>
      </c>
      <c r="C105" s="20" t="s">
        <v>62</v>
      </c>
      <c r="D105" s="20" t="s">
        <v>143</v>
      </c>
      <c r="E105" s="20" t="s">
        <v>143</v>
      </c>
      <c r="F105" s="20" t="s">
        <v>322</v>
      </c>
      <c r="G105" s="20">
        <v>21.0</v>
      </c>
      <c r="H105" s="65">
        <v>0.55</v>
      </c>
      <c r="I105" s="98">
        <v>11.59</v>
      </c>
    </row>
    <row r="106">
      <c r="A106" s="20">
        <v>2026.0</v>
      </c>
      <c r="B106" s="20">
        <v>1.0</v>
      </c>
      <c r="C106" s="20" t="s">
        <v>149</v>
      </c>
      <c r="D106" s="20" t="s">
        <v>150</v>
      </c>
      <c r="E106" s="20" t="s">
        <v>150</v>
      </c>
      <c r="F106" s="20" t="s">
        <v>322</v>
      </c>
      <c r="G106" s="20">
        <v>13.0</v>
      </c>
      <c r="H106" s="65">
        <v>6.41</v>
      </c>
      <c r="I106" s="98">
        <v>83.38</v>
      </c>
    </row>
    <row r="107">
      <c r="A107" s="20">
        <v>2026.0</v>
      </c>
      <c r="B107" s="20">
        <v>2.0</v>
      </c>
      <c r="C107" s="20" t="s">
        <v>149</v>
      </c>
      <c r="D107" s="20" t="s">
        <v>150</v>
      </c>
      <c r="E107" s="20" t="s">
        <v>150</v>
      </c>
      <c r="F107" s="20" t="s">
        <v>322</v>
      </c>
      <c r="G107" s="20">
        <v>18.5</v>
      </c>
      <c r="H107" s="65">
        <v>6.41</v>
      </c>
      <c r="I107" s="98">
        <v>118.66</v>
      </c>
    </row>
    <row r="108">
      <c r="A108" s="20">
        <v>2026.0</v>
      </c>
      <c r="B108" s="20">
        <v>3.0</v>
      </c>
      <c r="C108" s="20" t="s">
        <v>149</v>
      </c>
      <c r="D108" s="20" t="s">
        <v>150</v>
      </c>
      <c r="E108" s="20" t="s">
        <v>150</v>
      </c>
      <c r="F108" s="20" t="s">
        <v>322</v>
      </c>
      <c r="G108" s="20">
        <v>21.0</v>
      </c>
      <c r="H108" s="65">
        <v>6.41</v>
      </c>
      <c r="I108" s="98">
        <v>134.69</v>
      </c>
    </row>
    <row r="109">
      <c r="A109" s="20">
        <v>2026.0</v>
      </c>
      <c r="B109" s="20">
        <v>1.0</v>
      </c>
      <c r="C109" s="20" t="s">
        <v>151</v>
      </c>
      <c r="D109" s="20" t="s">
        <v>152</v>
      </c>
      <c r="E109" s="20" t="s">
        <v>152</v>
      </c>
      <c r="F109" s="20" t="s">
        <v>322</v>
      </c>
      <c r="G109" s="20">
        <v>18.5</v>
      </c>
      <c r="H109" s="65">
        <v>12.55</v>
      </c>
      <c r="I109" s="98">
        <v>232.21</v>
      </c>
    </row>
    <row r="110">
      <c r="A110" s="20">
        <v>2026.0</v>
      </c>
      <c r="B110" s="20">
        <v>2.0</v>
      </c>
      <c r="C110" s="20" t="s">
        <v>151</v>
      </c>
      <c r="D110" s="20" t="s">
        <v>152</v>
      </c>
      <c r="E110" s="20" t="s">
        <v>152</v>
      </c>
      <c r="F110" s="20" t="s">
        <v>322</v>
      </c>
      <c r="G110" s="20">
        <v>14.0</v>
      </c>
      <c r="H110" s="65">
        <v>12.55</v>
      </c>
      <c r="I110" s="98">
        <v>175.72</v>
      </c>
    </row>
    <row r="111">
      <c r="A111" s="20">
        <v>2026.0</v>
      </c>
      <c r="B111" s="20">
        <v>3.0</v>
      </c>
      <c r="C111" s="20" t="s">
        <v>151</v>
      </c>
      <c r="D111" s="20" t="s">
        <v>152</v>
      </c>
      <c r="E111" s="20" t="s">
        <v>152</v>
      </c>
      <c r="F111" s="20" t="s">
        <v>322</v>
      </c>
      <c r="G111" s="20">
        <v>17.0</v>
      </c>
      <c r="H111" s="65">
        <v>12.55</v>
      </c>
      <c r="I111" s="98">
        <v>213.38</v>
      </c>
    </row>
    <row r="112">
      <c r="A112" s="20">
        <v>2026.0</v>
      </c>
      <c r="B112" s="20">
        <v>1.0</v>
      </c>
      <c r="C112" s="20" t="s">
        <v>334</v>
      </c>
      <c r="D112" s="20" t="s">
        <v>27</v>
      </c>
      <c r="E112" s="20" t="s">
        <v>112</v>
      </c>
      <c r="F112" s="20" t="s">
        <v>322</v>
      </c>
      <c r="G112" s="20">
        <v>21.0</v>
      </c>
      <c r="H112" s="65">
        <v>12.55</v>
      </c>
      <c r="I112" s="98">
        <v>263.59</v>
      </c>
    </row>
    <row r="113">
      <c r="A113" s="20">
        <v>2026.0</v>
      </c>
      <c r="B113" s="20">
        <v>2.0</v>
      </c>
      <c r="C113" s="20" t="s">
        <v>334</v>
      </c>
      <c r="D113" s="20" t="s">
        <v>27</v>
      </c>
      <c r="E113" s="20" t="s">
        <v>112</v>
      </c>
      <c r="F113" s="20" t="s">
        <v>322</v>
      </c>
      <c r="G113" s="20">
        <v>14.5</v>
      </c>
      <c r="H113" s="65">
        <v>12.55</v>
      </c>
      <c r="I113" s="98">
        <v>182.0</v>
      </c>
    </row>
    <row r="114">
      <c r="A114" s="20">
        <v>2026.0</v>
      </c>
      <c r="B114" s="20">
        <v>3.0</v>
      </c>
      <c r="C114" s="20" t="s">
        <v>334</v>
      </c>
      <c r="D114" s="20" t="s">
        <v>27</v>
      </c>
      <c r="E114" s="20" t="s">
        <v>112</v>
      </c>
      <c r="F114" s="20" t="s">
        <v>322</v>
      </c>
      <c r="G114" s="20">
        <v>19.0</v>
      </c>
      <c r="H114" s="65">
        <v>12.55</v>
      </c>
      <c r="I114" s="98">
        <v>238.48</v>
      </c>
    </row>
    <row r="115">
      <c r="A115" s="20">
        <v>2026.0</v>
      </c>
      <c r="B115" s="20">
        <v>1.0</v>
      </c>
      <c r="C115" s="20" t="s">
        <v>161</v>
      </c>
      <c r="D115" s="20" t="s">
        <v>162</v>
      </c>
      <c r="E115" s="20" t="s">
        <v>312</v>
      </c>
      <c r="F115" s="20" t="s">
        <v>322</v>
      </c>
      <c r="G115" s="20">
        <v>21.0</v>
      </c>
      <c r="H115" s="65">
        <v>0.0</v>
      </c>
      <c r="I115" s="98">
        <v>69.52</v>
      </c>
    </row>
    <row r="116">
      <c r="A116" s="20">
        <v>2026.0</v>
      </c>
      <c r="B116" s="20">
        <v>2.0</v>
      </c>
      <c r="C116" s="20" t="s">
        <v>161</v>
      </c>
      <c r="D116" s="20" t="s">
        <v>162</v>
      </c>
      <c r="E116" s="20" t="s">
        <v>312</v>
      </c>
      <c r="F116" s="20" t="s">
        <v>322</v>
      </c>
      <c r="G116" s="20">
        <v>11.5</v>
      </c>
      <c r="H116" s="65">
        <v>0.0</v>
      </c>
      <c r="I116" s="98">
        <v>38.07</v>
      </c>
    </row>
    <row r="117">
      <c r="A117" s="20">
        <v>2026.0</v>
      </c>
      <c r="B117" s="20">
        <v>3.0</v>
      </c>
      <c r="C117" s="20" t="s">
        <v>161</v>
      </c>
      <c r="D117" s="20" t="s">
        <v>162</v>
      </c>
      <c r="E117" s="20" t="s">
        <v>312</v>
      </c>
      <c r="F117" s="20" t="s">
        <v>322</v>
      </c>
      <c r="G117" s="20">
        <v>22.0</v>
      </c>
      <c r="H117" s="65">
        <v>0.0</v>
      </c>
      <c r="I117" s="98">
        <v>72.83</v>
      </c>
    </row>
    <row r="118">
      <c r="A118" s="20">
        <v>2026.0</v>
      </c>
      <c r="B118" s="20">
        <v>2.0</v>
      </c>
      <c r="C118" s="20" t="s">
        <v>165</v>
      </c>
      <c r="D118" s="20" t="s">
        <v>166</v>
      </c>
      <c r="E118" s="20" t="s">
        <v>81</v>
      </c>
      <c r="F118" s="20" t="s">
        <v>322</v>
      </c>
      <c r="G118" s="20">
        <v>14.0</v>
      </c>
      <c r="H118" s="65">
        <v>5.93</v>
      </c>
      <c r="I118" s="98">
        <v>83.03</v>
      </c>
    </row>
    <row r="119">
      <c r="A119" s="20">
        <v>2026.0</v>
      </c>
      <c r="B119" s="20">
        <v>3.0</v>
      </c>
      <c r="C119" s="20" t="s">
        <v>165</v>
      </c>
      <c r="D119" s="20" t="s">
        <v>166</v>
      </c>
      <c r="E119" s="20" t="s">
        <v>81</v>
      </c>
      <c r="F119" s="20" t="s">
        <v>322</v>
      </c>
      <c r="G119" s="20">
        <v>22.0</v>
      </c>
      <c r="H119" s="65">
        <v>5.93</v>
      </c>
      <c r="I119" s="98">
        <v>130.48</v>
      </c>
    </row>
    <row r="120">
      <c r="A120" s="20">
        <v>2026.0</v>
      </c>
      <c r="B120" s="20">
        <v>1.0</v>
      </c>
      <c r="C120" s="20" t="s">
        <v>80</v>
      </c>
      <c r="D120" s="20" t="s">
        <v>81</v>
      </c>
      <c r="E120" s="20" t="s">
        <v>81</v>
      </c>
      <c r="F120" s="20" t="s">
        <v>322</v>
      </c>
      <c r="G120" s="20">
        <v>20.0</v>
      </c>
      <c r="H120" s="65">
        <v>11.38</v>
      </c>
      <c r="I120" s="98">
        <v>227.59</v>
      </c>
    </row>
    <row r="121">
      <c r="A121" s="20">
        <v>2026.0</v>
      </c>
      <c r="B121" s="20">
        <v>2.0</v>
      </c>
      <c r="C121" s="20" t="s">
        <v>80</v>
      </c>
      <c r="D121" s="20" t="s">
        <v>81</v>
      </c>
      <c r="E121" s="20" t="s">
        <v>81</v>
      </c>
      <c r="F121" s="20" t="s">
        <v>322</v>
      </c>
      <c r="G121" s="20">
        <v>8.0</v>
      </c>
      <c r="H121" s="65">
        <v>11.38</v>
      </c>
      <c r="I121" s="98">
        <v>91.03</v>
      </c>
    </row>
    <row r="122">
      <c r="A122" s="20">
        <v>2026.0</v>
      </c>
      <c r="B122" s="20">
        <v>2.0</v>
      </c>
      <c r="C122" s="20" t="s">
        <v>80</v>
      </c>
      <c r="D122" s="20" t="s">
        <v>81</v>
      </c>
      <c r="E122" s="20" t="s">
        <v>81</v>
      </c>
      <c r="F122" s="20" t="s">
        <v>322</v>
      </c>
      <c r="G122" s="20">
        <v>12.0</v>
      </c>
      <c r="H122" s="65">
        <v>11.38</v>
      </c>
      <c r="I122" s="98">
        <v>136.55</v>
      </c>
    </row>
    <row r="123">
      <c r="A123" s="20">
        <v>2026.0</v>
      </c>
      <c r="B123" s="20">
        <v>3.0</v>
      </c>
      <c r="C123" s="20" t="s">
        <v>80</v>
      </c>
      <c r="D123" s="20" t="s">
        <v>81</v>
      </c>
      <c r="E123" s="20" t="s">
        <v>81</v>
      </c>
      <c r="F123" s="20" t="s">
        <v>322</v>
      </c>
      <c r="G123" s="20">
        <v>11.0</v>
      </c>
      <c r="H123" s="65">
        <v>11.38</v>
      </c>
      <c r="I123" s="98">
        <v>125.17</v>
      </c>
    </row>
    <row r="124">
      <c r="A124" s="20">
        <v>2026.0</v>
      </c>
      <c r="B124" s="20">
        <v>1.0</v>
      </c>
      <c r="C124" s="20" t="s">
        <v>169</v>
      </c>
      <c r="D124" s="20" t="s">
        <v>170</v>
      </c>
      <c r="E124" s="20" t="s">
        <v>112</v>
      </c>
      <c r="F124" s="20" t="s">
        <v>322</v>
      </c>
      <c r="G124" s="20">
        <v>20.0</v>
      </c>
      <c r="H124" s="65">
        <v>2.14</v>
      </c>
      <c r="I124" s="98">
        <v>42.76</v>
      </c>
    </row>
    <row r="125">
      <c r="A125" s="20">
        <v>2026.0</v>
      </c>
      <c r="B125" s="20">
        <v>2.0</v>
      </c>
      <c r="C125" s="20" t="s">
        <v>169</v>
      </c>
      <c r="D125" s="20" t="s">
        <v>170</v>
      </c>
      <c r="E125" s="20" t="s">
        <v>112</v>
      </c>
      <c r="F125" s="20" t="s">
        <v>322</v>
      </c>
      <c r="G125" s="20">
        <v>20.0</v>
      </c>
      <c r="H125" s="65">
        <v>2.14</v>
      </c>
      <c r="I125" s="98">
        <v>42.76</v>
      </c>
    </row>
    <row r="126">
      <c r="A126" s="20">
        <v>2026.0</v>
      </c>
      <c r="B126" s="20">
        <v>3.0</v>
      </c>
      <c r="C126" s="20" t="s">
        <v>169</v>
      </c>
      <c r="D126" s="20" t="s">
        <v>170</v>
      </c>
      <c r="E126" s="20" t="s">
        <v>112</v>
      </c>
      <c r="F126" s="20" t="s">
        <v>322</v>
      </c>
      <c r="G126" s="20">
        <v>19.0</v>
      </c>
      <c r="H126" s="65">
        <v>2.14</v>
      </c>
      <c r="I126" s="98">
        <v>40.62</v>
      </c>
    </row>
    <row r="127">
      <c r="A127" s="20">
        <v>2026.0</v>
      </c>
      <c r="B127" s="20">
        <v>1.0</v>
      </c>
      <c r="C127" s="20" t="s">
        <v>335</v>
      </c>
      <c r="D127" s="20" t="s">
        <v>336</v>
      </c>
      <c r="E127" s="20" t="s">
        <v>308</v>
      </c>
      <c r="F127" s="20" t="s">
        <v>322</v>
      </c>
      <c r="G127" s="20">
        <v>3.19</v>
      </c>
      <c r="H127" s="65">
        <v>12.0</v>
      </c>
      <c r="I127" s="98">
        <v>38.28</v>
      </c>
    </row>
    <row r="128">
      <c r="A128" s="20">
        <v>2026.0</v>
      </c>
      <c r="B128" s="20">
        <v>2.0</v>
      </c>
      <c r="C128" s="20" t="s">
        <v>335</v>
      </c>
      <c r="D128" s="20" t="s">
        <v>336</v>
      </c>
      <c r="E128" s="20" t="s">
        <v>308</v>
      </c>
      <c r="F128" s="20" t="s">
        <v>322</v>
      </c>
      <c r="G128" s="20">
        <v>2.19</v>
      </c>
      <c r="H128" s="65">
        <v>12.0</v>
      </c>
      <c r="I128" s="98">
        <v>26.28</v>
      </c>
    </row>
    <row r="129">
      <c r="A129" s="20">
        <v>2026.0</v>
      </c>
      <c r="B129" s="20">
        <v>3.0</v>
      </c>
      <c r="C129" s="20" t="s">
        <v>335</v>
      </c>
      <c r="D129" s="20" t="s">
        <v>336</v>
      </c>
      <c r="E129" s="20" t="s">
        <v>308</v>
      </c>
      <c r="F129" s="20" t="s">
        <v>322</v>
      </c>
      <c r="G129" s="20">
        <v>2.565</v>
      </c>
      <c r="H129" s="65">
        <v>12.0</v>
      </c>
      <c r="I129" s="98">
        <v>30.78</v>
      </c>
    </row>
    <row r="130">
      <c r="A130" s="20">
        <v>2026.0</v>
      </c>
      <c r="B130" s="20">
        <v>1.0</v>
      </c>
      <c r="C130" s="20" t="s">
        <v>173</v>
      </c>
      <c r="D130" s="20" t="s">
        <v>174</v>
      </c>
      <c r="E130" s="20" t="s">
        <v>174</v>
      </c>
      <c r="F130" s="20" t="s">
        <v>322</v>
      </c>
      <c r="G130" s="20">
        <v>20.0</v>
      </c>
      <c r="H130" s="65">
        <v>15.72</v>
      </c>
      <c r="I130" s="98">
        <v>314.48</v>
      </c>
    </row>
    <row r="131">
      <c r="A131" s="20">
        <v>2026.0</v>
      </c>
      <c r="B131" s="20">
        <v>2.0</v>
      </c>
      <c r="C131" s="20" t="s">
        <v>173</v>
      </c>
      <c r="D131" s="20" t="s">
        <v>174</v>
      </c>
      <c r="E131" s="20" t="s">
        <v>174</v>
      </c>
      <c r="F131" s="20" t="s">
        <v>322</v>
      </c>
      <c r="G131" s="20">
        <v>20.0</v>
      </c>
      <c r="H131" s="65">
        <v>15.72</v>
      </c>
      <c r="I131" s="98">
        <v>314.48</v>
      </c>
    </row>
    <row r="132">
      <c r="A132" s="20">
        <v>2026.0</v>
      </c>
      <c r="B132" s="20">
        <v>3.0</v>
      </c>
      <c r="C132" s="20" t="s">
        <v>173</v>
      </c>
      <c r="D132" s="20" t="s">
        <v>174</v>
      </c>
      <c r="E132" s="20" t="s">
        <v>174</v>
      </c>
      <c r="F132" s="20" t="s">
        <v>322</v>
      </c>
      <c r="G132" s="20">
        <v>22.0</v>
      </c>
      <c r="H132" s="65">
        <v>15.72</v>
      </c>
      <c r="I132" s="98">
        <v>345.93</v>
      </c>
    </row>
    <row r="133">
      <c r="A133" s="20">
        <v>2026.0</v>
      </c>
      <c r="B133" s="20">
        <v>1.0</v>
      </c>
      <c r="C133" s="20" t="s">
        <v>175</v>
      </c>
      <c r="D133" s="20" t="s">
        <v>176</v>
      </c>
      <c r="E133" s="20" t="s">
        <v>112</v>
      </c>
      <c r="F133" s="20" t="s">
        <v>322</v>
      </c>
      <c r="G133" s="20">
        <v>17.0</v>
      </c>
      <c r="H133" s="65">
        <v>1.59</v>
      </c>
      <c r="I133" s="98">
        <v>26.97</v>
      </c>
    </row>
    <row r="134">
      <c r="A134" s="20">
        <v>2026.0</v>
      </c>
      <c r="B134" s="20">
        <v>2.0</v>
      </c>
      <c r="C134" s="20" t="s">
        <v>175</v>
      </c>
      <c r="D134" s="20" t="s">
        <v>176</v>
      </c>
      <c r="E134" s="20" t="s">
        <v>112</v>
      </c>
      <c r="F134" s="20" t="s">
        <v>322</v>
      </c>
      <c r="G134" s="20">
        <v>20.0</v>
      </c>
      <c r="H134" s="65">
        <v>1.59</v>
      </c>
      <c r="I134" s="98">
        <v>31.72</v>
      </c>
    </row>
    <row r="135">
      <c r="A135" s="20">
        <v>2026.0</v>
      </c>
      <c r="B135" s="20">
        <v>3.0</v>
      </c>
      <c r="C135" s="20" t="s">
        <v>175</v>
      </c>
      <c r="D135" s="20" t="s">
        <v>176</v>
      </c>
      <c r="E135" s="20" t="s">
        <v>112</v>
      </c>
      <c r="F135" s="20" t="s">
        <v>322</v>
      </c>
      <c r="G135" s="20">
        <v>21.5</v>
      </c>
      <c r="H135" s="65">
        <v>1.59</v>
      </c>
      <c r="I135" s="98">
        <v>34.1</v>
      </c>
    </row>
    <row r="136">
      <c r="A136" s="20">
        <v>2026.0</v>
      </c>
      <c r="B136" s="20">
        <v>1.0</v>
      </c>
      <c r="C136" s="20" t="s">
        <v>177</v>
      </c>
      <c r="D136" s="20" t="s">
        <v>178</v>
      </c>
      <c r="E136" s="20" t="s">
        <v>126</v>
      </c>
      <c r="F136" s="20" t="s">
        <v>322</v>
      </c>
      <c r="G136" s="20">
        <v>18.0</v>
      </c>
      <c r="H136" s="65">
        <v>14.34</v>
      </c>
      <c r="I136" s="98">
        <v>258.21</v>
      </c>
    </row>
    <row r="137">
      <c r="A137" s="20">
        <v>2026.0</v>
      </c>
      <c r="B137" s="20">
        <v>2.0</v>
      </c>
      <c r="C137" s="20" t="s">
        <v>177</v>
      </c>
      <c r="D137" s="20" t="s">
        <v>178</v>
      </c>
      <c r="E137" s="20" t="s">
        <v>126</v>
      </c>
      <c r="F137" s="20" t="s">
        <v>322</v>
      </c>
      <c r="G137" s="20">
        <v>20.0</v>
      </c>
      <c r="H137" s="65">
        <v>14.34</v>
      </c>
      <c r="I137" s="98">
        <v>286.9</v>
      </c>
    </row>
    <row r="138">
      <c r="A138" s="20">
        <v>2026.0</v>
      </c>
      <c r="B138" s="20">
        <v>3.0</v>
      </c>
      <c r="C138" s="20" t="s">
        <v>177</v>
      </c>
      <c r="D138" s="20" t="s">
        <v>178</v>
      </c>
      <c r="E138" s="20" t="s">
        <v>126</v>
      </c>
      <c r="F138" s="20" t="s">
        <v>322</v>
      </c>
      <c r="G138" s="20">
        <v>21.0</v>
      </c>
      <c r="H138" s="20">
        <v>14.34</v>
      </c>
      <c r="I138" s="98">
        <v>301.24</v>
      </c>
    </row>
    <row r="139">
      <c r="A139" s="57">
        <v>2026.0</v>
      </c>
      <c r="B139" s="57">
        <v>1.0</v>
      </c>
      <c r="C139" s="57" t="s">
        <v>190</v>
      </c>
      <c r="D139" s="57" t="s">
        <v>191</v>
      </c>
      <c r="E139" s="57" t="s">
        <v>150</v>
      </c>
      <c r="F139" s="57" t="s">
        <v>322</v>
      </c>
      <c r="G139" s="57">
        <v>17.0</v>
      </c>
      <c r="H139" s="57">
        <v>3.79</v>
      </c>
      <c r="I139" s="124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</row>
    <row r="140">
      <c r="A140" s="57">
        <v>2026.0</v>
      </c>
      <c r="B140" s="57">
        <v>2.0</v>
      </c>
      <c r="C140" s="57" t="s">
        <v>190</v>
      </c>
      <c r="D140" s="57" t="s">
        <v>191</v>
      </c>
      <c r="E140" s="57" t="s">
        <v>150</v>
      </c>
      <c r="F140" s="57" t="s">
        <v>322</v>
      </c>
      <c r="G140" s="57">
        <v>15.0</v>
      </c>
      <c r="H140" s="57">
        <v>3.79</v>
      </c>
      <c r="I140" s="124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</row>
    <row r="141">
      <c r="A141" s="57">
        <v>2026.0</v>
      </c>
      <c r="B141" s="57">
        <v>3.0</v>
      </c>
      <c r="C141" s="57" t="s">
        <v>190</v>
      </c>
      <c r="D141" s="57" t="s">
        <v>191</v>
      </c>
      <c r="E141" s="57" t="s">
        <v>150</v>
      </c>
      <c r="F141" s="57" t="s">
        <v>322</v>
      </c>
      <c r="G141" s="57">
        <v>16.0</v>
      </c>
      <c r="H141" s="57">
        <v>3.79</v>
      </c>
      <c r="I141" s="124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</row>
    <row r="142">
      <c r="A142" s="20">
        <v>2026.0</v>
      </c>
      <c r="B142" s="20">
        <v>1.0</v>
      </c>
      <c r="C142" s="20" t="s">
        <v>194</v>
      </c>
      <c r="D142" s="20" t="s">
        <v>195</v>
      </c>
      <c r="E142" s="20" t="s">
        <v>195</v>
      </c>
      <c r="F142" s="20" t="s">
        <v>322</v>
      </c>
      <c r="G142" s="20">
        <v>12.0</v>
      </c>
      <c r="H142" s="20">
        <v>10.9</v>
      </c>
      <c r="I142" s="98">
        <v>130.76</v>
      </c>
    </row>
    <row r="143">
      <c r="A143" s="20">
        <v>2026.0</v>
      </c>
      <c r="B143" s="20">
        <v>2.0</v>
      </c>
      <c r="C143" s="20" t="s">
        <v>194</v>
      </c>
      <c r="D143" s="20" t="s">
        <v>195</v>
      </c>
      <c r="E143" s="20" t="s">
        <v>195</v>
      </c>
      <c r="F143" s="20" t="s">
        <v>322</v>
      </c>
      <c r="G143" s="20">
        <v>12.0</v>
      </c>
      <c r="H143" s="20">
        <v>10.9</v>
      </c>
      <c r="I143" s="98">
        <v>130.76</v>
      </c>
    </row>
    <row r="144">
      <c r="A144" s="20">
        <v>2026.0</v>
      </c>
      <c r="B144" s="20">
        <v>3.0</v>
      </c>
      <c r="C144" s="20" t="s">
        <v>194</v>
      </c>
      <c r="D144" s="20" t="s">
        <v>195</v>
      </c>
      <c r="E144" s="20" t="s">
        <v>195</v>
      </c>
      <c r="F144" s="20" t="s">
        <v>322</v>
      </c>
      <c r="G144" s="20">
        <v>14.0</v>
      </c>
      <c r="H144" s="20">
        <v>10.9</v>
      </c>
      <c r="I144" s="98">
        <v>152.55</v>
      </c>
    </row>
    <row r="145">
      <c r="A145" s="20">
        <v>2026.0</v>
      </c>
      <c r="B145" s="20">
        <v>1.0</v>
      </c>
      <c r="C145" s="20" t="s">
        <v>69</v>
      </c>
      <c r="D145" s="20" t="s">
        <v>70</v>
      </c>
      <c r="E145" s="20" t="s">
        <v>13</v>
      </c>
      <c r="F145" s="20" t="s">
        <v>322</v>
      </c>
      <c r="G145" s="20">
        <v>20.0</v>
      </c>
      <c r="H145" s="20">
        <v>12.34</v>
      </c>
      <c r="I145" s="98">
        <v>246.9</v>
      </c>
    </row>
    <row r="146">
      <c r="A146" s="20">
        <v>2026.0</v>
      </c>
      <c r="B146" s="20">
        <v>1.0</v>
      </c>
      <c r="C146" s="20" t="s">
        <v>69</v>
      </c>
      <c r="D146" s="20" t="s">
        <v>70</v>
      </c>
      <c r="E146" s="20" t="s">
        <v>312</v>
      </c>
      <c r="F146" s="20" t="s">
        <v>322</v>
      </c>
      <c r="G146" s="20">
        <v>20.0</v>
      </c>
      <c r="H146" s="20">
        <v>0.0</v>
      </c>
      <c r="I146" s="98">
        <v>71.72</v>
      </c>
    </row>
    <row r="147">
      <c r="A147" s="20">
        <v>2026.0</v>
      </c>
      <c r="B147" s="20">
        <v>2.0</v>
      </c>
      <c r="C147" s="20" t="s">
        <v>69</v>
      </c>
      <c r="D147" s="20" t="s">
        <v>70</v>
      </c>
      <c r="E147" s="20" t="s">
        <v>13</v>
      </c>
      <c r="F147" s="20" t="s">
        <v>322</v>
      </c>
      <c r="G147" s="20">
        <v>20.0</v>
      </c>
      <c r="H147" s="20">
        <v>12.34</v>
      </c>
      <c r="I147" s="98">
        <v>246.9</v>
      </c>
    </row>
    <row r="148">
      <c r="A148" s="20">
        <v>2026.0</v>
      </c>
      <c r="B148" s="20">
        <v>2.0</v>
      </c>
      <c r="C148" s="20" t="s">
        <v>69</v>
      </c>
      <c r="D148" s="20" t="s">
        <v>70</v>
      </c>
      <c r="E148" s="20" t="s">
        <v>312</v>
      </c>
      <c r="F148" s="20" t="s">
        <v>322</v>
      </c>
      <c r="G148" s="20">
        <v>20.0</v>
      </c>
      <c r="H148" s="20">
        <v>0.0</v>
      </c>
      <c r="I148" s="98">
        <v>71.72</v>
      </c>
    </row>
    <row r="149">
      <c r="A149" s="20">
        <v>2026.0</v>
      </c>
      <c r="B149" s="20">
        <v>3.0</v>
      </c>
      <c r="C149" s="20" t="s">
        <v>69</v>
      </c>
      <c r="D149" s="20" t="s">
        <v>70</v>
      </c>
      <c r="E149" s="20" t="s">
        <v>312</v>
      </c>
      <c r="F149" s="20" t="s">
        <v>322</v>
      </c>
      <c r="G149" s="20">
        <v>22.0</v>
      </c>
      <c r="H149" s="20">
        <v>0.0</v>
      </c>
      <c r="I149" s="98">
        <v>78.9</v>
      </c>
    </row>
    <row r="150">
      <c r="A150" s="20">
        <v>2026.0</v>
      </c>
      <c r="B150" s="20">
        <v>1.0</v>
      </c>
      <c r="C150" s="20" t="s">
        <v>62</v>
      </c>
      <c r="D150" s="20" t="s">
        <v>207</v>
      </c>
      <c r="E150" s="20" t="s">
        <v>126</v>
      </c>
      <c r="F150" s="20" t="s">
        <v>322</v>
      </c>
      <c r="G150" s="20">
        <v>21.0</v>
      </c>
      <c r="H150" s="20">
        <v>1.03</v>
      </c>
      <c r="I150" s="98">
        <v>21.72</v>
      </c>
    </row>
    <row r="151">
      <c r="A151" s="20">
        <v>2026.0</v>
      </c>
      <c r="B151" s="20">
        <v>1.0</v>
      </c>
      <c r="C151" s="20" t="s">
        <v>62</v>
      </c>
      <c r="D151" s="20" t="s">
        <v>207</v>
      </c>
      <c r="E151" s="20" t="s">
        <v>143</v>
      </c>
      <c r="F151" s="20" t="s">
        <v>322</v>
      </c>
      <c r="G151" s="20">
        <v>21.0</v>
      </c>
      <c r="H151" s="20">
        <v>0.69</v>
      </c>
      <c r="I151" s="98">
        <v>14.48</v>
      </c>
    </row>
    <row r="152">
      <c r="A152" s="20">
        <v>2026.0</v>
      </c>
      <c r="B152" s="20">
        <v>2.0</v>
      </c>
      <c r="C152" s="20" t="s">
        <v>62</v>
      </c>
      <c r="D152" s="20" t="s">
        <v>207</v>
      </c>
      <c r="E152" s="20" t="s">
        <v>126</v>
      </c>
      <c r="F152" s="20" t="s">
        <v>322</v>
      </c>
      <c r="G152" s="20">
        <v>20.0</v>
      </c>
      <c r="H152" s="20">
        <v>1.03</v>
      </c>
      <c r="I152" s="98">
        <v>20.69</v>
      </c>
    </row>
    <row r="153">
      <c r="A153" s="20">
        <v>2026.0</v>
      </c>
      <c r="B153" s="20">
        <v>2.0</v>
      </c>
      <c r="C153" s="20" t="s">
        <v>62</v>
      </c>
      <c r="D153" s="20" t="s">
        <v>207</v>
      </c>
      <c r="E153" s="20" t="s">
        <v>143</v>
      </c>
      <c r="F153" s="20" t="s">
        <v>322</v>
      </c>
      <c r="G153" s="20">
        <v>20.0</v>
      </c>
      <c r="H153" s="20">
        <v>0.69</v>
      </c>
      <c r="I153" s="98">
        <v>13.79</v>
      </c>
    </row>
    <row r="154">
      <c r="A154" s="20">
        <v>2026.0</v>
      </c>
      <c r="B154" s="20">
        <v>3.0</v>
      </c>
      <c r="C154" s="20" t="s">
        <v>62</v>
      </c>
      <c r="D154" s="20" t="s">
        <v>207</v>
      </c>
      <c r="E154" s="20" t="s">
        <v>126</v>
      </c>
      <c r="F154" s="20" t="s">
        <v>322</v>
      </c>
      <c r="G154" s="20">
        <v>15.0</v>
      </c>
      <c r="H154" s="20">
        <v>1.03</v>
      </c>
      <c r="I154" s="98">
        <v>15.52</v>
      </c>
    </row>
    <row r="155">
      <c r="A155" s="20">
        <v>2026.0</v>
      </c>
      <c r="B155" s="20">
        <v>3.0</v>
      </c>
      <c r="C155" s="20" t="s">
        <v>62</v>
      </c>
      <c r="D155" s="20" t="s">
        <v>207</v>
      </c>
      <c r="E155" s="20" t="s">
        <v>143</v>
      </c>
      <c r="F155" s="20" t="s">
        <v>322</v>
      </c>
      <c r="G155" s="20">
        <v>15.0</v>
      </c>
      <c r="H155" s="20">
        <v>0.69</v>
      </c>
      <c r="I155" s="98">
        <v>10.34</v>
      </c>
    </row>
    <row r="156">
      <c r="A156" s="20">
        <v>2026.0</v>
      </c>
      <c r="B156" s="20">
        <v>1.0</v>
      </c>
      <c r="C156" s="20" t="s">
        <v>210</v>
      </c>
      <c r="D156" s="20" t="s">
        <v>211</v>
      </c>
      <c r="E156" s="20" t="s">
        <v>152</v>
      </c>
      <c r="F156" s="20" t="s">
        <v>322</v>
      </c>
      <c r="G156" s="20">
        <v>16.0</v>
      </c>
      <c r="H156" s="20">
        <v>9.38</v>
      </c>
      <c r="I156" s="98">
        <v>150.07</v>
      </c>
    </row>
    <row r="157">
      <c r="A157" s="20">
        <v>2026.0</v>
      </c>
      <c r="B157" s="20">
        <v>2.0</v>
      </c>
      <c r="C157" s="20" t="s">
        <v>210</v>
      </c>
      <c r="D157" s="20" t="s">
        <v>211</v>
      </c>
      <c r="E157" s="20" t="s">
        <v>152</v>
      </c>
      <c r="F157" s="20" t="s">
        <v>322</v>
      </c>
      <c r="G157" s="20">
        <v>15.0</v>
      </c>
      <c r="H157" s="20">
        <v>9.38</v>
      </c>
      <c r="I157" s="98">
        <v>140.69</v>
      </c>
    </row>
    <row r="158">
      <c r="A158" s="20">
        <v>2026.0</v>
      </c>
      <c r="B158" s="20">
        <v>3.0</v>
      </c>
      <c r="C158" s="20" t="s">
        <v>210</v>
      </c>
      <c r="D158" s="20" t="s">
        <v>211</v>
      </c>
      <c r="E158" s="20" t="s">
        <v>152</v>
      </c>
      <c r="F158" s="20" t="s">
        <v>322</v>
      </c>
      <c r="G158" s="20">
        <v>17.0</v>
      </c>
      <c r="H158" s="20">
        <v>9.38</v>
      </c>
      <c r="I158" s="98">
        <v>159.45</v>
      </c>
    </row>
    <row r="159">
      <c r="A159" s="20">
        <v>2026.0</v>
      </c>
      <c r="B159" s="20">
        <v>1.0</v>
      </c>
      <c r="C159" s="20" t="s">
        <v>62</v>
      </c>
      <c r="D159" s="20" t="s">
        <v>215</v>
      </c>
      <c r="E159" s="20" t="s">
        <v>126</v>
      </c>
      <c r="F159" s="20" t="s">
        <v>322</v>
      </c>
      <c r="G159" s="20">
        <v>19.5</v>
      </c>
      <c r="H159" s="20">
        <v>0.48</v>
      </c>
      <c r="I159" s="98">
        <v>9.41</v>
      </c>
    </row>
    <row r="160">
      <c r="A160" s="20">
        <v>2026.0</v>
      </c>
      <c r="B160" s="20">
        <v>1.0</v>
      </c>
      <c r="C160" s="20" t="s">
        <v>62</v>
      </c>
      <c r="D160" s="20" t="s">
        <v>215</v>
      </c>
      <c r="E160" s="20" t="s">
        <v>143</v>
      </c>
      <c r="F160" s="20" t="s">
        <v>322</v>
      </c>
      <c r="G160" s="20">
        <v>19.5</v>
      </c>
      <c r="H160" s="20">
        <v>0.28</v>
      </c>
      <c r="I160" s="98">
        <v>5.38</v>
      </c>
    </row>
    <row r="161">
      <c r="A161" s="20">
        <v>2026.0</v>
      </c>
      <c r="B161" s="20">
        <v>2.0</v>
      </c>
      <c r="C161" s="20" t="s">
        <v>62</v>
      </c>
      <c r="D161" s="20" t="s">
        <v>215</v>
      </c>
      <c r="E161" s="20" t="s">
        <v>126</v>
      </c>
      <c r="F161" s="20" t="s">
        <v>322</v>
      </c>
      <c r="G161" s="20">
        <v>19.5</v>
      </c>
      <c r="H161" s="20">
        <v>0.48</v>
      </c>
      <c r="I161" s="98">
        <v>9.41</v>
      </c>
    </row>
    <row r="162">
      <c r="A162" s="20">
        <v>2026.0</v>
      </c>
      <c r="B162" s="20">
        <v>2.0</v>
      </c>
      <c r="C162" s="20" t="s">
        <v>62</v>
      </c>
      <c r="D162" s="20" t="s">
        <v>215</v>
      </c>
      <c r="E162" s="20" t="s">
        <v>143</v>
      </c>
      <c r="F162" s="20" t="s">
        <v>322</v>
      </c>
      <c r="G162" s="20">
        <v>19.5</v>
      </c>
      <c r="H162" s="20">
        <v>0.28</v>
      </c>
      <c r="I162" s="98">
        <v>5.38</v>
      </c>
    </row>
    <row r="163">
      <c r="A163" s="20">
        <v>2026.0</v>
      </c>
      <c r="B163" s="20">
        <v>3.0</v>
      </c>
      <c r="C163" s="20" t="s">
        <v>62</v>
      </c>
      <c r="D163" s="20" t="s">
        <v>215</v>
      </c>
      <c r="E163" s="20" t="s">
        <v>126</v>
      </c>
      <c r="F163" s="20" t="s">
        <v>322</v>
      </c>
      <c r="G163" s="20">
        <v>21.0</v>
      </c>
      <c r="H163" s="20">
        <v>0.48</v>
      </c>
      <c r="I163" s="98">
        <v>10.14</v>
      </c>
    </row>
    <row r="164">
      <c r="A164" s="20">
        <v>2026.0</v>
      </c>
      <c r="B164" s="20">
        <v>3.0</v>
      </c>
      <c r="C164" s="20" t="s">
        <v>62</v>
      </c>
      <c r="D164" s="20" t="s">
        <v>215</v>
      </c>
      <c r="E164" s="20" t="s">
        <v>143</v>
      </c>
      <c r="F164" s="20" t="s">
        <v>322</v>
      </c>
      <c r="G164" s="20">
        <v>21.0</v>
      </c>
      <c r="H164" s="20">
        <v>0.28</v>
      </c>
      <c r="I164" s="98">
        <v>5.79</v>
      </c>
    </row>
    <row r="165">
      <c r="A165" s="20">
        <v>2026.0</v>
      </c>
      <c r="B165" s="20">
        <v>1.0</v>
      </c>
      <c r="C165" s="20" t="s">
        <v>62</v>
      </c>
      <c r="D165" s="20" t="s">
        <v>216</v>
      </c>
      <c r="E165" s="20" t="s">
        <v>126</v>
      </c>
      <c r="F165" s="20" t="s">
        <v>322</v>
      </c>
      <c r="G165" s="20">
        <v>20.0</v>
      </c>
      <c r="H165" s="20">
        <v>1.52</v>
      </c>
      <c r="I165" s="98">
        <v>30.34</v>
      </c>
    </row>
    <row r="166">
      <c r="A166" s="20">
        <v>2026.0</v>
      </c>
      <c r="B166" s="20">
        <v>1.0</v>
      </c>
      <c r="C166" s="20" t="s">
        <v>62</v>
      </c>
      <c r="D166" s="20" t="s">
        <v>216</v>
      </c>
      <c r="E166" s="20" t="s">
        <v>143</v>
      </c>
      <c r="F166" s="20" t="s">
        <v>322</v>
      </c>
      <c r="G166" s="20">
        <v>20.0</v>
      </c>
      <c r="H166" s="20">
        <v>1.03</v>
      </c>
      <c r="I166" s="98">
        <v>20.69</v>
      </c>
    </row>
    <row r="167">
      <c r="A167" s="20">
        <v>2026.0</v>
      </c>
      <c r="B167" s="20">
        <v>2.0</v>
      </c>
      <c r="C167" s="20" t="s">
        <v>62</v>
      </c>
      <c r="D167" s="20" t="s">
        <v>216</v>
      </c>
      <c r="E167" s="20" t="s">
        <v>126</v>
      </c>
      <c r="F167" s="20" t="s">
        <v>322</v>
      </c>
      <c r="G167" s="20">
        <v>18.0</v>
      </c>
      <c r="H167" s="20">
        <v>1.52</v>
      </c>
      <c r="I167" s="98">
        <v>27.31</v>
      </c>
    </row>
    <row r="168">
      <c r="A168" s="20">
        <v>2026.0</v>
      </c>
      <c r="B168" s="20">
        <v>2.0</v>
      </c>
      <c r="C168" s="20" t="s">
        <v>62</v>
      </c>
      <c r="D168" s="20" t="s">
        <v>216</v>
      </c>
      <c r="E168" s="20" t="s">
        <v>143</v>
      </c>
      <c r="F168" s="20" t="s">
        <v>322</v>
      </c>
      <c r="G168" s="20">
        <v>18.0</v>
      </c>
      <c r="H168" s="20">
        <v>1.03</v>
      </c>
      <c r="I168" s="98">
        <v>18.62</v>
      </c>
    </row>
    <row r="169">
      <c r="A169" s="20">
        <v>2026.0</v>
      </c>
      <c r="B169" s="20">
        <v>3.0</v>
      </c>
      <c r="C169" s="20" t="s">
        <v>62</v>
      </c>
      <c r="D169" s="20" t="s">
        <v>216</v>
      </c>
      <c r="E169" s="20" t="s">
        <v>126</v>
      </c>
      <c r="F169" s="20" t="s">
        <v>322</v>
      </c>
      <c r="G169" s="20">
        <v>18.0</v>
      </c>
      <c r="H169" s="20">
        <v>1.52</v>
      </c>
      <c r="I169" s="98">
        <v>27.31</v>
      </c>
    </row>
    <row r="170">
      <c r="A170" s="20">
        <v>2026.0</v>
      </c>
      <c r="B170" s="20">
        <v>3.0</v>
      </c>
      <c r="C170" s="20" t="s">
        <v>62</v>
      </c>
      <c r="D170" s="20" t="s">
        <v>216</v>
      </c>
      <c r="E170" s="20" t="s">
        <v>143</v>
      </c>
      <c r="F170" s="20" t="s">
        <v>322</v>
      </c>
      <c r="G170" s="20">
        <v>18.0</v>
      </c>
      <c r="H170" s="20">
        <v>1.03</v>
      </c>
      <c r="I170" s="98">
        <v>18.62</v>
      </c>
    </row>
    <row r="171">
      <c r="A171" s="20">
        <v>2026.0</v>
      </c>
      <c r="B171" s="20">
        <v>1.0</v>
      </c>
      <c r="C171" s="20" t="s">
        <v>224</v>
      </c>
      <c r="D171" s="20" t="s">
        <v>47</v>
      </c>
      <c r="E171" s="20" t="s">
        <v>126</v>
      </c>
      <c r="F171" s="20" t="s">
        <v>322</v>
      </c>
      <c r="G171" s="20">
        <v>11.0</v>
      </c>
      <c r="H171" s="20">
        <v>25.52</v>
      </c>
      <c r="I171" s="98">
        <v>280.69</v>
      </c>
    </row>
    <row r="172">
      <c r="A172" s="20">
        <v>2026.0</v>
      </c>
      <c r="B172" s="20">
        <v>1.0</v>
      </c>
      <c r="C172" s="20" t="s">
        <v>230</v>
      </c>
      <c r="D172" s="20" t="s">
        <v>37</v>
      </c>
      <c r="E172" s="20" t="s">
        <v>112</v>
      </c>
      <c r="F172" s="20" t="s">
        <v>322</v>
      </c>
      <c r="G172" s="20">
        <v>18.5</v>
      </c>
      <c r="H172" s="20">
        <v>2.41</v>
      </c>
      <c r="I172" s="98">
        <v>44.66</v>
      </c>
    </row>
    <row r="173">
      <c r="A173" s="20">
        <v>2026.0</v>
      </c>
      <c r="B173" s="20">
        <v>2.0</v>
      </c>
      <c r="C173" s="20" t="s">
        <v>230</v>
      </c>
      <c r="D173" s="20" t="s">
        <v>37</v>
      </c>
      <c r="E173" s="20" t="s">
        <v>112</v>
      </c>
      <c r="F173" s="20" t="s">
        <v>322</v>
      </c>
      <c r="G173" s="20">
        <v>19.0</v>
      </c>
      <c r="H173" s="20">
        <v>2.41</v>
      </c>
      <c r="I173" s="98">
        <v>45.86</v>
      </c>
    </row>
    <row r="174">
      <c r="A174" s="20">
        <v>2026.0</v>
      </c>
      <c r="B174" s="20">
        <v>3.0</v>
      </c>
      <c r="C174" s="20" t="s">
        <v>230</v>
      </c>
      <c r="D174" s="20" t="s">
        <v>37</v>
      </c>
      <c r="E174" s="20" t="s">
        <v>112</v>
      </c>
      <c r="F174" s="20" t="s">
        <v>322</v>
      </c>
      <c r="G174" s="20">
        <v>22.0</v>
      </c>
      <c r="H174" s="20">
        <v>2.41</v>
      </c>
      <c r="I174" s="98">
        <v>53.1</v>
      </c>
    </row>
    <row r="175">
      <c r="A175" s="20">
        <v>2026.0</v>
      </c>
      <c r="B175" s="20">
        <v>1.0</v>
      </c>
      <c r="C175" s="20" t="s">
        <v>220</v>
      </c>
      <c r="D175" s="20" t="s">
        <v>241</v>
      </c>
      <c r="E175" s="20" t="s">
        <v>312</v>
      </c>
      <c r="F175" s="20" t="s">
        <v>322</v>
      </c>
      <c r="G175" s="20">
        <v>10.0</v>
      </c>
      <c r="H175" s="20">
        <v>0.0</v>
      </c>
      <c r="I175" s="98">
        <v>44.14</v>
      </c>
    </row>
    <row r="176">
      <c r="A176" s="20">
        <v>2026.0</v>
      </c>
      <c r="B176" s="20">
        <v>2.0</v>
      </c>
      <c r="C176" s="20" t="s">
        <v>220</v>
      </c>
      <c r="D176" s="20" t="s">
        <v>241</v>
      </c>
      <c r="E176" s="20" t="s">
        <v>312</v>
      </c>
      <c r="F176" s="20" t="s">
        <v>322</v>
      </c>
      <c r="G176" s="20">
        <v>20.0</v>
      </c>
      <c r="H176" s="20">
        <v>0.0</v>
      </c>
      <c r="I176" s="98">
        <v>88.28</v>
      </c>
    </row>
    <row r="177">
      <c r="A177" s="20">
        <v>2026.0</v>
      </c>
      <c r="B177" s="20">
        <v>3.0</v>
      </c>
      <c r="C177" s="20" t="s">
        <v>220</v>
      </c>
      <c r="D177" s="20" t="s">
        <v>241</v>
      </c>
      <c r="E177" s="20" t="s">
        <v>312</v>
      </c>
      <c r="F177" s="20" t="s">
        <v>322</v>
      </c>
      <c r="G177" s="20">
        <v>22.0</v>
      </c>
      <c r="H177" s="20">
        <v>0.0</v>
      </c>
      <c r="I177" s="98">
        <v>97.1</v>
      </c>
    </row>
    <row r="178">
      <c r="A178" s="20">
        <v>2026.0</v>
      </c>
      <c r="B178" s="20">
        <v>3.0</v>
      </c>
      <c r="C178" s="20" t="s">
        <v>108</v>
      </c>
      <c r="D178" s="20" t="s">
        <v>109</v>
      </c>
      <c r="E178" s="20" t="s">
        <v>308</v>
      </c>
      <c r="F178" s="20" t="s">
        <v>322</v>
      </c>
      <c r="G178" s="20">
        <v>10.0</v>
      </c>
      <c r="H178" s="20">
        <v>17.1</v>
      </c>
      <c r="I178" s="98">
        <v>171.03</v>
      </c>
    </row>
    <row r="179">
      <c r="A179" s="20">
        <v>2026.0</v>
      </c>
      <c r="B179" s="20">
        <v>1.0</v>
      </c>
      <c r="C179" s="20" t="s">
        <v>260</v>
      </c>
      <c r="D179" s="20" t="s">
        <v>261</v>
      </c>
      <c r="E179" s="20" t="s">
        <v>261</v>
      </c>
      <c r="F179" s="20" t="s">
        <v>322</v>
      </c>
      <c r="G179" s="20">
        <v>13.0</v>
      </c>
      <c r="H179" s="20">
        <v>11.03</v>
      </c>
      <c r="I179" s="98">
        <v>143.45</v>
      </c>
    </row>
    <row r="180">
      <c r="A180" s="20">
        <v>2026.0</v>
      </c>
      <c r="B180" s="20">
        <v>2.0</v>
      </c>
      <c r="C180" s="20" t="s">
        <v>260</v>
      </c>
      <c r="D180" s="20" t="s">
        <v>261</v>
      </c>
      <c r="E180" s="20" t="s">
        <v>261</v>
      </c>
      <c r="F180" s="20" t="s">
        <v>322</v>
      </c>
      <c r="G180" s="20">
        <v>8.0</v>
      </c>
      <c r="H180" s="20">
        <v>11.03</v>
      </c>
      <c r="I180" s="98">
        <v>88.28</v>
      </c>
    </row>
    <row r="181">
      <c r="A181" s="20">
        <v>2026.0</v>
      </c>
      <c r="B181" s="20">
        <v>3.0</v>
      </c>
      <c r="C181" s="20" t="s">
        <v>260</v>
      </c>
      <c r="D181" s="20" t="s">
        <v>261</v>
      </c>
      <c r="E181" s="20" t="s">
        <v>261</v>
      </c>
      <c r="F181" s="20" t="s">
        <v>322</v>
      </c>
      <c r="G181" s="20">
        <v>22.0</v>
      </c>
      <c r="H181" s="20">
        <v>11.03</v>
      </c>
      <c r="I181" s="98">
        <v>242.76</v>
      </c>
    </row>
    <row r="182">
      <c r="A182" s="20">
        <v>2026.0</v>
      </c>
      <c r="B182" s="20">
        <v>2.0</v>
      </c>
      <c r="C182" s="20" t="s">
        <v>262</v>
      </c>
      <c r="D182" s="20" t="s">
        <v>263</v>
      </c>
      <c r="E182" s="20" t="s">
        <v>126</v>
      </c>
      <c r="F182" s="20" t="s">
        <v>322</v>
      </c>
      <c r="G182" s="20">
        <v>10.0</v>
      </c>
      <c r="H182" s="20">
        <v>1.17</v>
      </c>
      <c r="I182" s="98">
        <v>11.72</v>
      </c>
    </row>
    <row r="183">
      <c r="A183" s="20">
        <v>2026.0</v>
      </c>
      <c r="B183" s="20">
        <v>2.0</v>
      </c>
      <c r="C183" s="20" t="s">
        <v>262</v>
      </c>
      <c r="D183" s="20" t="s">
        <v>263</v>
      </c>
      <c r="E183" s="20" t="s">
        <v>143</v>
      </c>
      <c r="F183" s="20" t="s">
        <v>322</v>
      </c>
      <c r="G183" s="20">
        <v>10.0</v>
      </c>
      <c r="H183" s="20">
        <v>0.76</v>
      </c>
      <c r="I183" s="98">
        <v>7.59</v>
      </c>
    </row>
    <row r="184">
      <c r="A184" s="20">
        <v>2026.0</v>
      </c>
      <c r="B184" s="20">
        <v>3.0</v>
      </c>
      <c r="C184" s="20" t="s">
        <v>262</v>
      </c>
      <c r="D184" s="20" t="s">
        <v>263</v>
      </c>
      <c r="E184" s="20" t="s">
        <v>126</v>
      </c>
      <c r="F184" s="20" t="s">
        <v>322</v>
      </c>
      <c r="G184" s="20">
        <v>22.0</v>
      </c>
      <c r="H184" s="20">
        <v>1.17</v>
      </c>
      <c r="I184" s="98">
        <v>25.79</v>
      </c>
    </row>
    <row r="185">
      <c r="A185" s="20">
        <v>2026.0</v>
      </c>
      <c r="B185" s="20">
        <v>3.0</v>
      </c>
      <c r="C185" s="20" t="s">
        <v>262</v>
      </c>
      <c r="D185" s="20" t="s">
        <v>263</v>
      </c>
      <c r="E185" s="20" t="s">
        <v>143</v>
      </c>
      <c r="F185" s="20" t="s">
        <v>322</v>
      </c>
      <c r="G185" s="20">
        <v>22.0</v>
      </c>
      <c r="H185" s="20">
        <v>0.76</v>
      </c>
      <c r="I185" s="98">
        <v>16.69</v>
      </c>
    </row>
    <row r="186">
      <c r="A186" s="20">
        <v>2026.0</v>
      </c>
      <c r="B186" s="20">
        <v>3.0</v>
      </c>
      <c r="C186" s="20" t="s">
        <v>62</v>
      </c>
      <c r="D186" s="20" t="s">
        <v>251</v>
      </c>
      <c r="E186" s="20" t="s">
        <v>126</v>
      </c>
      <c r="F186" s="20" t="s">
        <v>322</v>
      </c>
      <c r="G186" s="20">
        <v>12.0</v>
      </c>
      <c r="H186" s="20">
        <v>1.24</v>
      </c>
      <c r="I186" s="98">
        <v>14.9</v>
      </c>
    </row>
    <row r="187">
      <c r="A187" s="20">
        <v>2026.0</v>
      </c>
      <c r="B187" s="20">
        <v>3.0</v>
      </c>
      <c r="C187" s="20" t="s">
        <v>62</v>
      </c>
      <c r="D187" s="20" t="s">
        <v>251</v>
      </c>
      <c r="E187" s="20" t="s">
        <v>143</v>
      </c>
      <c r="F187" s="20" t="s">
        <v>322</v>
      </c>
      <c r="G187" s="20">
        <v>12.0</v>
      </c>
      <c r="H187" s="20">
        <v>0.83</v>
      </c>
      <c r="I187" s="98">
        <v>9.93</v>
      </c>
    </row>
    <row r="188">
      <c r="A188" s="20">
        <v>2026.0</v>
      </c>
      <c r="B188" s="20">
        <v>1.0</v>
      </c>
      <c r="C188" s="20" t="s">
        <v>268</v>
      </c>
      <c r="D188" s="20" t="s">
        <v>269</v>
      </c>
      <c r="E188" s="20" t="s">
        <v>269</v>
      </c>
      <c r="F188" s="20" t="s">
        <v>322</v>
      </c>
      <c r="G188" s="20">
        <v>19.0</v>
      </c>
      <c r="H188" s="20">
        <v>5.52</v>
      </c>
      <c r="I188" s="98">
        <v>104.83</v>
      </c>
    </row>
    <row r="189">
      <c r="A189" s="20">
        <v>2026.0</v>
      </c>
      <c r="B189" s="20">
        <v>2.0</v>
      </c>
      <c r="C189" s="20" t="s">
        <v>268</v>
      </c>
      <c r="D189" s="20" t="s">
        <v>269</v>
      </c>
      <c r="E189" s="20" t="s">
        <v>269</v>
      </c>
      <c r="F189" s="20" t="s">
        <v>322</v>
      </c>
      <c r="G189" s="20">
        <v>18.5</v>
      </c>
      <c r="H189" s="20">
        <v>5.52</v>
      </c>
      <c r="I189" s="98">
        <v>102.07</v>
      </c>
    </row>
    <row r="190">
      <c r="A190" s="20">
        <v>2026.0</v>
      </c>
      <c r="B190" s="20">
        <v>3.0</v>
      </c>
      <c r="C190" s="20" t="s">
        <v>268</v>
      </c>
      <c r="D190" s="20" t="s">
        <v>269</v>
      </c>
      <c r="E190" s="20" t="s">
        <v>269</v>
      </c>
      <c r="F190" s="20" t="s">
        <v>322</v>
      </c>
      <c r="G190" s="20">
        <v>21.0</v>
      </c>
      <c r="H190" s="20">
        <v>5.52</v>
      </c>
      <c r="I190" s="98">
        <v>115.86</v>
      </c>
    </row>
    <row r="191">
      <c r="A191" s="20">
        <v>2026.0</v>
      </c>
      <c r="B191" s="20">
        <v>1.0</v>
      </c>
      <c r="C191" s="20" t="s">
        <v>270</v>
      </c>
      <c r="D191" s="20" t="s">
        <v>271</v>
      </c>
      <c r="E191" s="20" t="s">
        <v>271</v>
      </c>
      <c r="F191" s="20" t="s">
        <v>322</v>
      </c>
      <c r="G191" s="20">
        <v>20.5</v>
      </c>
      <c r="H191" s="20">
        <v>8.48</v>
      </c>
      <c r="I191" s="98">
        <v>173.9</v>
      </c>
    </row>
    <row r="192">
      <c r="A192" s="20">
        <v>2026.0</v>
      </c>
      <c r="B192" s="20">
        <v>2.0</v>
      </c>
      <c r="C192" s="20" t="s">
        <v>270</v>
      </c>
      <c r="D192" s="20" t="s">
        <v>271</v>
      </c>
      <c r="E192" s="20" t="s">
        <v>271</v>
      </c>
      <c r="F192" s="20" t="s">
        <v>322</v>
      </c>
      <c r="G192" s="20">
        <v>19.0</v>
      </c>
      <c r="H192" s="20">
        <v>8.48</v>
      </c>
      <c r="I192" s="98">
        <v>161.17</v>
      </c>
    </row>
    <row r="193">
      <c r="A193" s="20">
        <v>2026.0</v>
      </c>
      <c r="B193" s="20">
        <v>3.0</v>
      </c>
      <c r="C193" s="20" t="s">
        <v>270</v>
      </c>
      <c r="D193" s="20" t="s">
        <v>271</v>
      </c>
      <c r="E193" s="20" t="s">
        <v>271</v>
      </c>
      <c r="F193" s="20" t="s">
        <v>322</v>
      </c>
      <c r="G193" s="20">
        <v>20.0</v>
      </c>
      <c r="H193" s="20">
        <v>8.48</v>
      </c>
      <c r="I193" s="98">
        <v>169.66</v>
      </c>
    </row>
    <row r="194">
      <c r="A194" s="20">
        <v>2026.0</v>
      </c>
      <c r="B194" s="20">
        <v>1.0</v>
      </c>
      <c r="C194" s="20" t="s">
        <v>337</v>
      </c>
      <c r="D194" s="20" t="s">
        <v>313</v>
      </c>
      <c r="E194" s="20" t="s">
        <v>308</v>
      </c>
      <c r="F194" s="20" t="s">
        <v>322</v>
      </c>
      <c r="G194" s="20">
        <v>17.0</v>
      </c>
      <c r="H194" s="20">
        <v>4.55</v>
      </c>
      <c r="I194" s="98">
        <v>77.38</v>
      </c>
    </row>
    <row r="195">
      <c r="A195" s="20">
        <v>2026.0</v>
      </c>
      <c r="B195" s="20">
        <v>1.0</v>
      </c>
      <c r="C195" s="20" t="s">
        <v>337</v>
      </c>
      <c r="D195" s="20" t="s">
        <v>313</v>
      </c>
      <c r="E195" s="20" t="s">
        <v>313</v>
      </c>
      <c r="F195" s="20" t="s">
        <v>322</v>
      </c>
      <c r="G195" s="20">
        <v>17.0</v>
      </c>
      <c r="H195" s="20">
        <v>4.55</v>
      </c>
      <c r="I195" s="98">
        <v>77.38</v>
      </c>
    </row>
    <row r="196">
      <c r="A196" s="20">
        <v>2026.0</v>
      </c>
      <c r="B196" s="20">
        <v>2.0</v>
      </c>
      <c r="C196" s="20" t="s">
        <v>337</v>
      </c>
      <c r="D196" s="20" t="s">
        <v>313</v>
      </c>
      <c r="E196" s="20" t="s">
        <v>308</v>
      </c>
      <c r="F196" s="20" t="s">
        <v>322</v>
      </c>
      <c r="G196" s="20">
        <v>19.0</v>
      </c>
      <c r="H196" s="20">
        <v>4.55</v>
      </c>
      <c r="I196" s="98">
        <v>86.48</v>
      </c>
    </row>
    <row r="197">
      <c r="A197" s="20">
        <v>2026.0</v>
      </c>
      <c r="B197" s="20">
        <v>2.0</v>
      </c>
      <c r="C197" s="20" t="s">
        <v>337</v>
      </c>
      <c r="D197" s="20" t="s">
        <v>313</v>
      </c>
      <c r="E197" s="20" t="s">
        <v>313</v>
      </c>
      <c r="F197" s="20" t="s">
        <v>322</v>
      </c>
      <c r="G197" s="20">
        <v>19.0</v>
      </c>
      <c r="H197" s="20">
        <v>4.55</v>
      </c>
      <c r="I197" s="98">
        <v>86.48</v>
      </c>
    </row>
    <row r="198">
      <c r="A198" s="20">
        <v>2026.0</v>
      </c>
      <c r="B198" s="20">
        <v>3.0</v>
      </c>
      <c r="C198" s="20" t="s">
        <v>337</v>
      </c>
      <c r="D198" s="20" t="s">
        <v>313</v>
      </c>
      <c r="E198" s="20" t="s">
        <v>308</v>
      </c>
      <c r="F198" s="20" t="s">
        <v>322</v>
      </c>
      <c r="G198" s="20">
        <v>22.0</v>
      </c>
      <c r="H198" s="20">
        <v>4.55</v>
      </c>
      <c r="I198" s="98">
        <v>100.14</v>
      </c>
    </row>
    <row r="199">
      <c r="A199" s="20">
        <v>2026.0</v>
      </c>
      <c r="B199" s="20">
        <v>3.0</v>
      </c>
      <c r="C199" s="20" t="s">
        <v>337</v>
      </c>
      <c r="D199" s="20" t="s">
        <v>313</v>
      </c>
      <c r="E199" s="20" t="s">
        <v>313</v>
      </c>
      <c r="F199" s="20" t="s">
        <v>322</v>
      </c>
      <c r="G199" s="20">
        <v>22.0</v>
      </c>
      <c r="H199" s="20">
        <v>4.55</v>
      </c>
      <c r="I199" s="98">
        <v>100.14</v>
      </c>
    </row>
    <row r="200">
      <c r="A200" s="20">
        <v>2026.0</v>
      </c>
      <c r="B200" s="20">
        <v>1.0</v>
      </c>
      <c r="C200" s="20" t="s">
        <v>338</v>
      </c>
      <c r="D200" s="20" t="s">
        <v>339</v>
      </c>
      <c r="E200" s="20" t="s">
        <v>308</v>
      </c>
      <c r="F200" s="20" t="s">
        <v>322</v>
      </c>
      <c r="G200" s="20">
        <v>18.5</v>
      </c>
      <c r="H200" s="20">
        <v>12.9</v>
      </c>
      <c r="I200" s="98">
        <v>238.59</v>
      </c>
    </row>
    <row r="201">
      <c r="A201" s="20">
        <v>2026.0</v>
      </c>
      <c r="B201" s="20">
        <v>2.0</v>
      </c>
      <c r="C201" s="20" t="s">
        <v>338</v>
      </c>
      <c r="D201" s="20" t="s">
        <v>339</v>
      </c>
      <c r="E201" s="20" t="s">
        <v>308</v>
      </c>
      <c r="F201" s="20" t="s">
        <v>322</v>
      </c>
      <c r="G201" s="20">
        <v>19.5</v>
      </c>
      <c r="H201" s="20">
        <v>12.9</v>
      </c>
      <c r="I201" s="98">
        <v>251.48</v>
      </c>
    </row>
    <row r="202">
      <c r="A202" s="20">
        <v>2026.0</v>
      </c>
      <c r="B202" s="20">
        <v>3.0</v>
      </c>
      <c r="C202" s="20" t="s">
        <v>338</v>
      </c>
      <c r="D202" s="20" t="s">
        <v>339</v>
      </c>
      <c r="E202" s="20" t="s">
        <v>308</v>
      </c>
      <c r="F202" s="20" t="s">
        <v>322</v>
      </c>
      <c r="G202" s="20">
        <v>21.0</v>
      </c>
      <c r="H202" s="20">
        <v>12.9</v>
      </c>
      <c r="I202" s="98">
        <v>270.83</v>
      </c>
    </row>
    <row r="203">
      <c r="A203" s="20">
        <v>2026.0</v>
      </c>
      <c r="B203" s="20">
        <v>1.0</v>
      </c>
      <c r="C203" s="20" t="s">
        <v>274</v>
      </c>
      <c r="D203" s="20" t="s">
        <v>275</v>
      </c>
      <c r="E203" s="20" t="s">
        <v>308</v>
      </c>
      <c r="F203" s="20" t="s">
        <v>322</v>
      </c>
      <c r="G203" s="20">
        <v>9.0</v>
      </c>
      <c r="H203" s="20">
        <v>5.17</v>
      </c>
      <c r="I203" s="98">
        <v>46.55</v>
      </c>
    </row>
    <row r="204">
      <c r="A204" s="20">
        <v>2026.0</v>
      </c>
      <c r="B204" s="20">
        <v>2.0</v>
      </c>
      <c r="C204" s="20" t="s">
        <v>274</v>
      </c>
      <c r="D204" s="20" t="s">
        <v>275</v>
      </c>
      <c r="E204" s="20" t="s">
        <v>308</v>
      </c>
      <c r="F204" s="20" t="s">
        <v>322</v>
      </c>
      <c r="G204" s="20">
        <v>18.0</v>
      </c>
      <c r="H204" s="20">
        <v>5.17</v>
      </c>
      <c r="I204" s="98">
        <v>93.1</v>
      </c>
    </row>
    <row r="205">
      <c r="A205" s="20">
        <v>2026.0</v>
      </c>
      <c r="B205" s="20">
        <v>3.0</v>
      </c>
      <c r="C205" s="20" t="s">
        <v>274</v>
      </c>
      <c r="D205" s="20" t="s">
        <v>275</v>
      </c>
      <c r="E205" s="20" t="s">
        <v>308</v>
      </c>
      <c r="F205" s="20" t="s">
        <v>322</v>
      </c>
      <c r="G205" s="20">
        <v>18.0</v>
      </c>
      <c r="H205" s="20">
        <v>5.17</v>
      </c>
      <c r="I205" s="98">
        <v>93.1</v>
      </c>
    </row>
    <row r="206">
      <c r="A206" s="20">
        <v>2026.0</v>
      </c>
      <c r="B206" s="20">
        <v>2.0</v>
      </c>
      <c r="C206" s="20" t="s">
        <v>66</v>
      </c>
      <c r="D206" s="20" t="s">
        <v>67</v>
      </c>
      <c r="E206" s="20" t="s">
        <v>13</v>
      </c>
      <c r="F206" s="20" t="s">
        <v>68</v>
      </c>
      <c r="G206" s="64"/>
      <c r="H206" s="20"/>
      <c r="I206" s="98">
        <v>185.7100067</v>
      </c>
    </row>
    <row r="207">
      <c r="A207" s="20">
        <v>2026.0</v>
      </c>
      <c r="B207" s="20">
        <v>1.0</v>
      </c>
      <c r="C207" s="20" t="s">
        <v>69</v>
      </c>
      <c r="D207" s="20" t="s">
        <v>70</v>
      </c>
      <c r="E207" s="20" t="s">
        <v>13</v>
      </c>
      <c r="F207" s="20" t="s">
        <v>68</v>
      </c>
      <c r="G207" s="64"/>
      <c r="H207" s="20"/>
      <c r="I207" s="98">
        <v>200.0</v>
      </c>
    </row>
    <row r="208">
      <c r="A208" s="20">
        <v>2026.0</v>
      </c>
      <c r="B208" s="20">
        <v>2.0</v>
      </c>
      <c r="C208" s="20" t="s">
        <v>69</v>
      </c>
      <c r="D208" s="20" t="s">
        <v>70</v>
      </c>
      <c r="E208" s="20" t="s">
        <v>13</v>
      </c>
      <c r="F208" s="20" t="s">
        <v>68</v>
      </c>
      <c r="G208" s="64"/>
      <c r="H208" s="20"/>
      <c r="I208" s="98">
        <v>200.0</v>
      </c>
    </row>
    <row r="209">
      <c r="A209" s="20">
        <v>2026.0</v>
      </c>
      <c r="B209" s="20">
        <v>1.0</v>
      </c>
      <c r="C209" s="20" t="s">
        <v>72</v>
      </c>
      <c r="D209" s="20" t="s">
        <v>73</v>
      </c>
      <c r="E209" s="20" t="s">
        <v>13</v>
      </c>
      <c r="F209" s="20" t="s">
        <v>68</v>
      </c>
      <c r="G209" s="64"/>
      <c r="H209" s="20"/>
      <c r="I209" s="98">
        <v>200.0</v>
      </c>
    </row>
    <row r="210">
      <c r="A210" s="20">
        <v>2026.0</v>
      </c>
      <c r="B210" s="20">
        <v>2.0</v>
      </c>
      <c r="C210" s="20" t="s">
        <v>72</v>
      </c>
      <c r="D210" s="20" t="s">
        <v>73</v>
      </c>
      <c r="E210" s="20" t="s">
        <v>13</v>
      </c>
      <c r="F210" s="20" t="s">
        <v>68</v>
      </c>
      <c r="G210" s="64"/>
      <c r="H210" s="20"/>
      <c r="I210" s="98">
        <v>200.0</v>
      </c>
    </row>
    <row r="211">
      <c r="A211" s="20">
        <v>2026.0</v>
      </c>
      <c r="B211" s="20">
        <v>1.0</v>
      </c>
      <c r="C211" s="20" t="s">
        <v>177</v>
      </c>
      <c r="D211" s="20" t="s">
        <v>178</v>
      </c>
      <c r="E211" s="20" t="s">
        <v>126</v>
      </c>
      <c r="F211" s="20" t="s">
        <v>68</v>
      </c>
      <c r="G211" s="64"/>
      <c r="H211" s="20"/>
      <c r="I211" s="98">
        <v>200.0</v>
      </c>
    </row>
    <row r="212">
      <c r="A212" s="20">
        <v>2026.0</v>
      </c>
      <c r="B212" s="20">
        <v>2.0</v>
      </c>
      <c r="C212" s="20" t="s">
        <v>177</v>
      </c>
      <c r="D212" s="20" t="s">
        <v>178</v>
      </c>
      <c r="E212" s="20" t="s">
        <v>126</v>
      </c>
      <c r="F212" s="20" t="s">
        <v>68</v>
      </c>
      <c r="G212" s="64"/>
      <c r="H212" s="20"/>
      <c r="I212" s="98">
        <v>200.0</v>
      </c>
    </row>
    <row r="213">
      <c r="A213" s="20">
        <v>2026.0</v>
      </c>
      <c r="B213" s="20">
        <v>3.0</v>
      </c>
      <c r="C213" s="20" t="s">
        <v>177</v>
      </c>
      <c r="D213" s="20" t="s">
        <v>178</v>
      </c>
      <c r="E213" s="20" t="s">
        <v>126</v>
      </c>
      <c r="F213" s="20" t="s">
        <v>68</v>
      </c>
      <c r="G213" s="64"/>
      <c r="H213" s="20"/>
      <c r="I213" s="98">
        <v>200.0</v>
      </c>
    </row>
    <row r="214">
      <c r="A214" s="20">
        <v>2026.0</v>
      </c>
      <c r="B214" s="20">
        <v>1.0</v>
      </c>
      <c r="C214" s="20" t="s">
        <v>62</v>
      </c>
      <c r="D214" s="20" t="s">
        <v>215</v>
      </c>
      <c r="E214" s="20" t="s">
        <v>126</v>
      </c>
      <c r="F214" s="20" t="s">
        <v>68</v>
      </c>
      <c r="G214" s="64"/>
      <c r="H214" s="20"/>
      <c r="I214" s="98">
        <v>100.0</v>
      </c>
    </row>
    <row r="215">
      <c r="A215" s="20">
        <v>2026.0</v>
      </c>
      <c r="B215" s="20">
        <v>2.0</v>
      </c>
      <c r="C215" s="20" t="s">
        <v>62</v>
      </c>
      <c r="D215" s="20" t="s">
        <v>215</v>
      </c>
      <c r="E215" s="20" t="s">
        <v>126</v>
      </c>
      <c r="F215" s="20" t="s">
        <v>68</v>
      </c>
      <c r="G215" s="64"/>
      <c r="H215" s="20"/>
      <c r="I215" s="98">
        <v>100.0</v>
      </c>
    </row>
    <row r="216">
      <c r="A216" s="20">
        <v>2026.0</v>
      </c>
      <c r="B216" s="20">
        <v>3.0</v>
      </c>
      <c r="C216" s="20" t="s">
        <v>62</v>
      </c>
      <c r="D216" s="20" t="s">
        <v>215</v>
      </c>
      <c r="E216" s="20" t="s">
        <v>126</v>
      </c>
      <c r="F216" s="20" t="s">
        <v>68</v>
      </c>
      <c r="G216" s="64"/>
      <c r="H216" s="20"/>
      <c r="I216" s="98">
        <v>100.0</v>
      </c>
    </row>
    <row r="217">
      <c r="A217" s="20">
        <v>2026.0</v>
      </c>
      <c r="B217" s="20">
        <v>2.0</v>
      </c>
      <c r="C217" s="20" t="s">
        <v>262</v>
      </c>
      <c r="D217" s="20" t="s">
        <v>263</v>
      </c>
      <c r="E217" s="20" t="s">
        <v>126</v>
      </c>
      <c r="F217" s="20" t="s">
        <v>68</v>
      </c>
      <c r="G217" s="64"/>
      <c r="H217" s="20"/>
      <c r="I217" s="98">
        <v>85.70999908</v>
      </c>
    </row>
    <row r="218">
      <c r="A218" s="20">
        <v>2026.0</v>
      </c>
      <c r="B218" s="20">
        <v>3.0</v>
      </c>
      <c r="C218" s="20" t="s">
        <v>262</v>
      </c>
      <c r="D218" s="20" t="s">
        <v>263</v>
      </c>
      <c r="E218" s="20" t="s">
        <v>126</v>
      </c>
      <c r="F218" s="20" t="s">
        <v>68</v>
      </c>
      <c r="G218" s="64"/>
      <c r="H218" s="20"/>
      <c r="I218" s="98">
        <v>200.0</v>
      </c>
    </row>
    <row r="219">
      <c r="A219" s="20">
        <v>2026.0</v>
      </c>
      <c r="B219" s="20">
        <v>1.0</v>
      </c>
      <c r="C219" s="20" t="s">
        <v>173</v>
      </c>
      <c r="D219" s="20" t="s">
        <v>174</v>
      </c>
      <c r="E219" s="20" t="s">
        <v>143</v>
      </c>
      <c r="F219" s="20" t="s">
        <v>68</v>
      </c>
      <c r="G219" s="64"/>
      <c r="H219" s="20"/>
      <c r="I219" s="98">
        <v>96.76999664</v>
      </c>
    </row>
    <row r="220">
      <c r="A220" s="20">
        <v>2026.0</v>
      </c>
      <c r="B220" s="20">
        <v>2.0</v>
      </c>
      <c r="C220" s="20" t="s">
        <v>173</v>
      </c>
      <c r="D220" s="20" t="s">
        <v>174</v>
      </c>
      <c r="E220" s="20" t="s">
        <v>143</v>
      </c>
      <c r="F220" s="20" t="s">
        <v>68</v>
      </c>
      <c r="G220" s="64"/>
      <c r="H220" s="20"/>
      <c r="I220" s="98">
        <v>200.0</v>
      </c>
    </row>
    <row r="221">
      <c r="A221" s="20">
        <v>2026.0</v>
      </c>
      <c r="B221" s="20">
        <v>3.0</v>
      </c>
      <c r="C221" s="20" t="s">
        <v>173</v>
      </c>
      <c r="D221" s="20" t="s">
        <v>174</v>
      </c>
      <c r="E221" s="20" t="s">
        <v>143</v>
      </c>
      <c r="F221" s="20" t="s">
        <v>68</v>
      </c>
      <c r="G221" s="64"/>
      <c r="H221" s="20"/>
      <c r="I221" s="98">
        <v>200.0</v>
      </c>
    </row>
    <row r="222">
      <c r="A222" s="20">
        <v>2026.0</v>
      </c>
      <c r="B222" s="20">
        <v>1.0</v>
      </c>
      <c r="C222" s="20" t="s">
        <v>62</v>
      </c>
      <c r="D222" s="20" t="s">
        <v>215</v>
      </c>
      <c r="E222" s="20" t="s">
        <v>143</v>
      </c>
      <c r="F222" s="20" t="s">
        <v>68</v>
      </c>
      <c r="G222" s="64"/>
      <c r="H222" s="20"/>
      <c r="I222" s="98">
        <v>100.0</v>
      </c>
    </row>
    <row r="223">
      <c r="A223" s="20">
        <v>2026.0</v>
      </c>
      <c r="B223" s="20">
        <v>2.0</v>
      </c>
      <c r="C223" s="20" t="s">
        <v>62</v>
      </c>
      <c r="D223" s="20" t="s">
        <v>215</v>
      </c>
      <c r="E223" s="20" t="s">
        <v>143</v>
      </c>
      <c r="F223" s="20" t="s">
        <v>68</v>
      </c>
      <c r="G223" s="64"/>
      <c r="H223" s="20"/>
      <c r="I223" s="98">
        <v>100.0</v>
      </c>
    </row>
    <row r="224">
      <c r="A224" s="20">
        <v>2026.0</v>
      </c>
      <c r="B224" s="20">
        <v>3.0</v>
      </c>
      <c r="C224" s="20" t="s">
        <v>62</v>
      </c>
      <c r="D224" s="20" t="s">
        <v>215</v>
      </c>
      <c r="E224" s="20" t="s">
        <v>143</v>
      </c>
      <c r="F224" s="20" t="s">
        <v>68</v>
      </c>
      <c r="G224" s="64"/>
      <c r="H224" s="20"/>
      <c r="I224" s="98">
        <v>100.0</v>
      </c>
    </row>
    <row r="225">
      <c r="A225" s="20">
        <v>2026.0</v>
      </c>
      <c r="B225" s="20">
        <v>1.0</v>
      </c>
      <c r="C225" s="20" t="s">
        <v>220</v>
      </c>
      <c r="D225" s="20" t="s">
        <v>241</v>
      </c>
      <c r="E225" s="20" t="s">
        <v>178</v>
      </c>
      <c r="F225" s="20" t="s">
        <v>68</v>
      </c>
      <c r="G225" s="64"/>
      <c r="H225" s="20"/>
      <c r="I225" s="98">
        <v>200.0</v>
      </c>
    </row>
    <row r="226">
      <c r="A226" s="20">
        <v>2026.0</v>
      </c>
      <c r="B226" s="20">
        <v>2.0</v>
      </c>
      <c r="C226" s="20" t="s">
        <v>220</v>
      </c>
      <c r="D226" s="20" t="s">
        <v>241</v>
      </c>
      <c r="E226" s="20" t="s">
        <v>178</v>
      </c>
      <c r="F226" s="20" t="s">
        <v>68</v>
      </c>
      <c r="G226" s="64"/>
      <c r="H226" s="20"/>
      <c r="I226" s="98">
        <v>200.0</v>
      </c>
    </row>
    <row r="227">
      <c r="A227" s="20">
        <v>2026.0</v>
      </c>
      <c r="B227" s="20">
        <v>3.0</v>
      </c>
      <c r="C227" s="20" t="s">
        <v>220</v>
      </c>
      <c r="D227" s="20" t="s">
        <v>241</v>
      </c>
      <c r="E227" s="20" t="s">
        <v>178</v>
      </c>
      <c r="F227" s="20" t="s">
        <v>68</v>
      </c>
      <c r="G227" s="64"/>
      <c r="H227" s="20"/>
      <c r="I227" s="98">
        <v>200.0</v>
      </c>
    </row>
    <row r="228">
      <c r="A228" s="20">
        <v>2026.0</v>
      </c>
      <c r="B228" s="20">
        <v>1.0</v>
      </c>
      <c r="C228" s="20" t="s">
        <v>246</v>
      </c>
      <c r="D228" s="20" t="s">
        <v>247</v>
      </c>
      <c r="E228" s="20" t="s">
        <v>215</v>
      </c>
      <c r="F228" s="20" t="s">
        <v>68</v>
      </c>
      <c r="G228" s="64"/>
      <c r="H228" s="20"/>
      <c r="I228" s="98">
        <v>200.0</v>
      </c>
    </row>
    <row r="229">
      <c r="A229" s="20">
        <v>2026.0</v>
      </c>
      <c r="B229" s="20">
        <v>2.0</v>
      </c>
      <c r="C229" s="20" t="s">
        <v>246</v>
      </c>
      <c r="D229" s="20" t="s">
        <v>247</v>
      </c>
      <c r="E229" s="20" t="s">
        <v>215</v>
      </c>
      <c r="F229" s="20" t="s">
        <v>68</v>
      </c>
      <c r="G229" s="64"/>
      <c r="H229" s="20"/>
      <c r="I229" s="98">
        <v>200.0</v>
      </c>
    </row>
    <row r="230">
      <c r="A230" s="20">
        <v>2026.0</v>
      </c>
      <c r="B230" s="20">
        <v>3.0</v>
      </c>
      <c r="C230" s="20" t="s">
        <v>246</v>
      </c>
      <c r="D230" s="20" t="s">
        <v>247</v>
      </c>
      <c r="E230" s="20" t="s">
        <v>215</v>
      </c>
      <c r="F230" s="20" t="s">
        <v>68</v>
      </c>
      <c r="G230" s="64"/>
      <c r="H230" s="20"/>
      <c r="I230" s="98">
        <v>200.0</v>
      </c>
    </row>
    <row r="231">
      <c r="A231" s="20">
        <v>2026.0</v>
      </c>
      <c r="B231" s="20">
        <v>1.0</v>
      </c>
      <c r="C231" s="64"/>
      <c r="D231" s="20" t="s">
        <v>77</v>
      </c>
      <c r="E231" s="20" t="s">
        <v>311</v>
      </c>
      <c r="F231" s="20" t="s">
        <v>16</v>
      </c>
      <c r="G231" s="64"/>
      <c r="H231" s="20">
        <v>0.0</v>
      </c>
      <c r="I231" s="98">
        <v>500.0</v>
      </c>
    </row>
    <row r="232">
      <c r="A232" s="57">
        <v>2026.0</v>
      </c>
      <c r="B232" s="57">
        <v>1.0</v>
      </c>
      <c r="C232" s="57" t="s">
        <v>190</v>
      </c>
      <c r="D232" s="57" t="s">
        <v>191</v>
      </c>
      <c r="E232" s="57" t="s">
        <v>150</v>
      </c>
      <c r="F232" s="57" t="s">
        <v>322</v>
      </c>
      <c r="G232" s="57">
        <v>17.0</v>
      </c>
      <c r="H232" s="57">
        <v>2.8</v>
      </c>
      <c r="I232" s="124">
        <f t="shared" ref="I232:I234" si="3">G232*H232</f>
        <v>47.6</v>
      </c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</row>
    <row r="233">
      <c r="A233" s="57">
        <v>2026.0</v>
      </c>
      <c r="B233" s="57">
        <v>2.0</v>
      </c>
      <c r="C233" s="57" t="s">
        <v>190</v>
      </c>
      <c r="D233" s="57" t="s">
        <v>191</v>
      </c>
      <c r="E233" s="57" t="s">
        <v>150</v>
      </c>
      <c r="F233" s="57" t="s">
        <v>322</v>
      </c>
      <c r="G233" s="57">
        <v>15.0</v>
      </c>
      <c r="H233" s="57">
        <v>2.8</v>
      </c>
      <c r="I233" s="124">
        <f t="shared" si="3"/>
        <v>42</v>
      </c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</row>
    <row r="234">
      <c r="A234" s="57">
        <v>2026.0</v>
      </c>
      <c r="B234" s="57">
        <v>3.0</v>
      </c>
      <c r="C234" s="57" t="s">
        <v>190</v>
      </c>
      <c r="D234" s="57" t="s">
        <v>191</v>
      </c>
      <c r="E234" s="57" t="s">
        <v>150</v>
      </c>
      <c r="F234" s="57" t="s">
        <v>322</v>
      </c>
      <c r="G234" s="57">
        <v>16.0</v>
      </c>
      <c r="H234" s="57">
        <v>2.8</v>
      </c>
      <c r="I234" s="124">
        <f t="shared" si="3"/>
        <v>44.8</v>
      </c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</row>
    <row r="235">
      <c r="I235" s="105"/>
    </row>
    <row r="236">
      <c r="I236" s="105"/>
    </row>
    <row r="237">
      <c r="I237" s="105"/>
    </row>
    <row r="238">
      <c r="I238" s="105"/>
    </row>
    <row r="239">
      <c r="I239" s="105"/>
    </row>
    <row r="240">
      <c r="I240" s="105"/>
    </row>
    <row r="241">
      <c r="I241" s="105"/>
    </row>
    <row r="242">
      <c r="I242" s="105"/>
    </row>
    <row r="243">
      <c r="I243" s="105"/>
    </row>
    <row r="244">
      <c r="I244" s="105"/>
    </row>
    <row r="245">
      <c r="I245" s="105"/>
    </row>
    <row r="246">
      <c r="I246" s="105"/>
    </row>
    <row r="247">
      <c r="I247" s="105"/>
    </row>
    <row r="248">
      <c r="I248" s="105"/>
    </row>
    <row r="249">
      <c r="I249" s="105"/>
    </row>
    <row r="250">
      <c r="I250" s="105"/>
    </row>
    <row r="251">
      <c r="I251" s="105"/>
    </row>
    <row r="252">
      <c r="I252" s="105"/>
    </row>
    <row r="253">
      <c r="I253" s="105"/>
    </row>
    <row r="254">
      <c r="I254" s="105"/>
    </row>
    <row r="255">
      <c r="I255" s="105"/>
    </row>
    <row r="256">
      <c r="I256" s="105"/>
    </row>
    <row r="257">
      <c r="I257" s="105"/>
    </row>
    <row r="258">
      <c r="I258" s="105"/>
    </row>
    <row r="259">
      <c r="I259" s="105"/>
    </row>
    <row r="260">
      <c r="I260" s="105"/>
    </row>
    <row r="261">
      <c r="I261" s="105"/>
    </row>
    <row r="262">
      <c r="I262" s="105"/>
    </row>
    <row r="263">
      <c r="I263" s="105"/>
    </row>
    <row r="264">
      <c r="I264" s="105"/>
    </row>
    <row r="265">
      <c r="I265" s="105"/>
    </row>
    <row r="266">
      <c r="I266" s="105"/>
    </row>
    <row r="267">
      <c r="I267" s="105"/>
    </row>
    <row r="268">
      <c r="I268" s="105"/>
    </row>
    <row r="269">
      <c r="I269" s="105"/>
    </row>
    <row r="270">
      <c r="I270" s="105"/>
    </row>
    <row r="271">
      <c r="I271" s="105"/>
    </row>
    <row r="272">
      <c r="I272" s="105"/>
    </row>
    <row r="273">
      <c r="I273" s="105"/>
    </row>
    <row r="274">
      <c r="I274" s="105"/>
    </row>
    <row r="275">
      <c r="I275" s="105"/>
    </row>
    <row r="276">
      <c r="I276" s="105"/>
    </row>
    <row r="277">
      <c r="I277" s="105"/>
    </row>
    <row r="278">
      <c r="I278" s="105"/>
    </row>
    <row r="279">
      <c r="I279" s="105"/>
    </row>
    <row r="280">
      <c r="I280" s="105"/>
    </row>
    <row r="281">
      <c r="I281" s="105"/>
    </row>
    <row r="282">
      <c r="I282" s="105"/>
    </row>
    <row r="283">
      <c r="I283" s="105"/>
    </row>
    <row r="284">
      <c r="I284" s="105"/>
    </row>
    <row r="285">
      <c r="I285" s="105"/>
    </row>
    <row r="286">
      <c r="I286" s="105"/>
    </row>
    <row r="287">
      <c r="I287" s="105"/>
    </row>
    <row r="288">
      <c r="I288" s="105"/>
    </row>
    <row r="289">
      <c r="I289" s="105"/>
    </row>
    <row r="290">
      <c r="I290" s="105"/>
    </row>
    <row r="291">
      <c r="I291" s="105"/>
    </row>
    <row r="292">
      <c r="I292" s="105"/>
    </row>
    <row r="293">
      <c r="I293" s="105"/>
    </row>
    <row r="294">
      <c r="I294" s="105"/>
    </row>
    <row r="295">
      <c r="I295" s="105"/>
    </row>
    <row r="296">
      <c r="I296" s="105"/>
    </row>
    <row r="297">
      <c r="I297" s="105"/>
    </row>
    <row r="298">
      <c r="I298" s="105"/>
    </row>
    <row r="299">
      <c r="I299" s="105"/>
    </row>
    <row r="300">
      <c r="I300" s="105"/>
    </row>
    <row r="301">
      <c r="I301" s="105"/>
    </row>
    <row r="302">
      <c r="I302" s="105"/>
    </row>
    <row r="303">
      <c r="I303" s="105"/>
    </row>
    <row r="304">
      <c r="I304" s="105"/>
    </row>
    <row r="305">
      <c r="I305" s="105"/>
    </row>
    <row r="306">
      <c r="I306" s="105"/>
    </row>
    <row r="307">
      <c r="I307" s="105"/>
    </row>
    <row r="308">
      <c r="I308" s="105"/>
    </row>
    <row r="309">
      <c r="I309" s="105"/>
    </row>
    <row r="310">
      <c r="I310" s="105"/>
    </row>
    <row r="311">
      <c r="I311" s="105"/>
    </row>
    <row r="312">
      <c r="I312" s="105"/>
    </row>
    <row r="313">
      <c r="I313" s="105"/>
    </row>
    <row r="314">
      <c r="I314" s="105"/>
    </row>
    <row r="315">
      <c r="I315" s="105"/>
    </row>
    <row r="316">
      <c r="I316" s="105"/>
    </row>
    <row r="317">
      <c r="I317" s="105"/>
    </row>
    <row r="318">
      <c r="I318" s="105"/>
    </row>
    <row r="319">
      <c r="I319" s="105"/>
    </row>
    <row r="320">
      <c r="I320" s="105"/>
    </row>
    <row r="321">
      <c r="I321" s="105"/>
    </row>
    <row r="322">
      <c r="I322" s="105"/>
    </row>
    <row r="323">
      <c r="I323" s="105"/>
    </row>
    <row r="324">
      <c r="I324" s="105"/>
    </row>
    <row r="325">
      <c r="I325" s="105"/>
    </row>
    <row r="326">
      <c r="I326" s="105"/>
    </row>
    <row r="327">
      <c r="I327" s="105"/>
    </row>
    <row r="328">
      <c r="I328" s="105"/>
    </row>
    <row r="329">
      <c r="I329" s="105"/>
    </row>
    <row r="330">
      <c r="I330" s="105"/>
    </row>
    <row r="331">
      <c r="I331" s="105"/>
    </row>
    <row r="332">
      <c r="I332" s="105"/>
    </row>
    <row r="333">
      <c r="I333" s="105"/>
    </row>
    <row r="334">
      <c r="I334" s="105"/>
    </row>
    <row r="335">
      <c r="I335" s="105"/>
    </row>
    <row r="336">
      <c r="I336" s="105"/>
    </row>
    <row r="337">
      <c r="I337" s="105"/>
    </row>
    <row r="338">
      <c r="I338" s="105"/>
    </row>
    <row r="339">
      <c r="I339" s="105"/>
    </row>
    <row r="340">
      <c r="I340" s="105"/>
    </row>
    <row r="341">
      <c r="I341" s="105"/>
    </row>
    <row r="342">
      <c r="I342" s="105"/>
    </row>
    <row r="343">
      <c r="I343" s="105"/>
    </row>
    <row r="344">
      <c r="I344" s="105"/>
    </row>
    <row r="345">
      <c r="I345" s="105"/>
    </row>
    <row r="346">
      <c r="I346" s="105"/>
    </row>
    <row r="347">
      <c r="I347" s="105"/>
    </row>
    <row r="348">
      <c r="I348" s="105"/>
    </row>
    <row r="349">
      <c r="I349" s="105"/>
    </row>
    <row r="350">
      <c r="I350" s="105"/>
    </row>
    <row r="351">
      <c r="I351" s="105"/>
    </row>
    <row r="352">
      <c r="I352" s="105"/>
    </row>
    <row r="353">
      <c r="I353" s="105"/>
    </row>
    <row r="354">
      <c r="I354" s="105"/>
    </row>
    <row r="355">
      <c r="I355" s="105"/>
    </row>
    <row r="356">
      <c r="I356" s="105"/>
    </row>
    <row r="357">
      <c r="I357" s="105"/>
    </row>
    <row r="358">
      <c r="I358" s="105"/>
    </row>
    <row r="359">
      <c r="I359" s="105"/>
    </row>
    <row r="360">
      <c r="I360" s="105"/>
    </row>
    <row r="361">
      <c r="I361" s="105"/>
    </row>
    <row r="362">
      <c r="I362" s="105"/>
    </row>
    <row r="363">
      <c r="I363" s="105"/>
    </row>
    <row r="364">
      <c r="I364" s="105"/>
    </row>
    <row r="365">
      <c r="I365" s="105"/>
    </row>
    <row r="366">
      <c r="I366" s="105"/>
    </row>
    <row r="367">
      <c r="I367" s="105"/>
    </row>
    <row r="368">
      <c r="I368" s="105"/>
    </row>
    <row r="369">
      <c r="I369" s="105"/>
    </row>
    <row r="370">
      <c r="I370" s="105"/>
    </row>
    <row r="371">
      <c r="I371" s="105"/>
    </row>
    <row r="372">
      <c r="I372" s="105"/>
    </row>
    <row r="373">
      <c r="I373" s="105"/>
    </row>
    <row r="374">
      <c r="I374" s="105"/>
    </row>
    <row r="375">
      <c r="I375" s="105"/>
    </row>
    <row r="376">
      <c r="I376" s="105"/>
    </row>
    <row r="377">
      <c r="I377" s="105"/>
    </row>
    <row r="378">
      <c r="I378" s="105"/>
    </row>
    <row r="379">
      <c r="I379" s="105"/>
    </row>
    <row r="380">
      <c r="I380" s="105"/>
    </row>
    <row r="381">
      <c r="I381" s="105"/>
    </row>
    <row r="382">
      <c r="I382" s="105"/>
    </row>
    <row r="383">
      <c r="I383" s="105"/>
    </row>
    <row r="384">
      <c r="I384" s="105"/>
    </row>
    <row r="385">
      <c r="I385" s="105"/>
    </row>
    <row r="386">
      <c r="I386" s="105"/>
    </row>
    <row r="387">
      <c r="I387" s="105"/>
    </row>
    <row r="388">
      <c r="I388" s="105"/>
    </row>
    <row r="389">
      <c r="I389" s="105"/>
    </row>
    <row r="390">
      <c r="I390" s="105"/>
    </row>
    <row r="391">
      <c r="I391" s="105"/>
    </row>
    <row r="392">
      <c r="I392" s="105"/>
    </row>
    <row r="393">
      <c r="I393" s="105"/>
    </row>
    <row r="394">
      <c r="I394" s="105"/>
    </row>
    <row r="395">
      <c r="I395" s="105"/>
    </row>
    <row r="396">
      <c r="I396" s="105"/>
    </row>
    <row r="397">
      <c r="I397" s="105"/>
    </row>
    <row r="398">
      <c r="I398" s="105"/>
    </row>
    <row r="399">
      <c r="I399" s="105"/>
    </row>
    <row r="400">
      <c r="I400" s="105"/>
    </row>
    <row r="401">
      <c r="I401" s="105"/>
    </row>
    <row r="402">
      <c r="I402" s="105"/>
    </row>
    <row r="403">
      <c r="I403" s="105"/>
    </row>
    <row r="404">
      <c r="I404" s="105"/>
    </row>
    <row r="405">
      <c r="I405" s="105"/>
    </row>
    <row r="406">
      <c r="I406" s="105"/>
    </row>
    <row r="407">
      <c r="I407" s="105"/>
    </row>
    <row r="408">
      <c r="I408" s="105"/>
    </row>
    <row r="409">
      <c r="I409" s="105"/>
    </row>
    <row r="410">
      <c r="I410" s="105"/>
    </row>
    <row r="411">
      <c r="I411" s="105"/>
    </row>
    <row r="412">
      <c r="I412" s="105"/>
    </row>
    <row r="413">
      <c r="I413" s="105"/>
    </row>
    <row r="414">
      <c r="I414" s="105"/>
    </row>
    <row r="415">
      <c r="I415" s="105"/>
    </row>
    <row r="416">
      <c r="I416" s="105"/>
    </row>
    <row r="417">
      <c r="I417" s="105"/>
    </row>
    <row r="418">
      <c r="I418" s="105"/>
    </row>
    <row r="419">
      <c r="I419" s="105"/>
    </row>
    <row r="420">
      <c r="I420" s="105"/>
    </row>
    <row r="421">
      <c r="I421" s="105"/>
    </row>
    <row r="422">
      <c r="I422" s="105"/>
    </row>
  </sheetData>
  <autoFilter ref="$A$32:$Y$234"/>
  <customSheetViews>
    <customSheetView guid="{337816CC-850F-4D8A-9A21-5D6FA7C66D79}" filter="1" showAutoFilter="1">
      <autoFilter ref="$A$32:$Y$150">
        <filterColumn colId="4">
          <filters>
            <filter val="ANO"/>
            <filter val="IHA"/>
            <filter val="CLM"/>
            <filter val="JFE"/>
            <filter val="ARA"/>
            <filter val="GSA"/>
            <filter val="NOU"/>
            <filter val="MGU"/>
            <filter val="JDU"/>
            <filter val="LBU"/>
          </filters>
        </filterColumn>
      </autoFilter>
    </customSheetView>
    <customSheetView guid="{7E2DC08E-42AC-43D8-8C70-258D8904AA44}" filter="1" showAutoFilter="1">
      <autoFilter ref="$A$3:$H$26"/>
    </customSheetView>
  </customSheetView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2.88"/>
    <col customWidth="1" min="2" max="2" width="15.38"/>
    <col customWidth="1" min="3" max="3" width="35.25"/>
    <col customWidth="1" min="4" max="4" width="23.63"/>
    <col customWidth="1" min="5" max="6" width="23.0"/>
    <col customWidth="1" min="7" max="8" width="19.75"/>
    <col customWidth="1" min="9" max="9" width="14.5"/>
    <col customWidth="1" min="10" max="10" width="26.63"/>
    <col customWidth="1" min="11" max="11" width="12.5"/>
    <col customWidth="1" min="12" max="12" width="6.63"/>
    <col customWidth="1" min="14" max="14" width="38.25"/>
    <col customWidth="1" min="15" max="15" width="24.88"/>
  </cols>
  <sheetData>
    <row r="1">
      <c r="A1" s="2" t="s">
        <v>319</v>
      </c>
      <c r="J1" s="10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3"/>
      <c r="C2" s="106"/>
      <c r="D2" s="6"/>
      <c r="E2" s="5"/>
      <c r="F2" s="5"/>
      <c r="G2" s="5"/>
      <c r="H2" s="5"/>
      <c r="I2" s="3"/>
      <c r="J2" s="10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9" t="s">
        <v>3</v>
      </c>
      <c r="B3" s="9" t="s">
        <v>315</v>
      </c>
      <c r="C3" s="108" t="s">
        <v>6</v>
      </c>
      <c r="D3" s="112" t="s">
        <v>16</v>
      </c>
      <c r="E3" s="15" t="s">
        <v>11</v>
      </c>
      <c r="F3" s="109" t="s">
        <v>316</v>
      </c>
      <c r="G3" s="109" t="s">
        <v>317</v>
      </c>
      <c r="H3" s="5"/>
      <c r="I3" s="10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20" t="s">
        <v>112</v>
      </c>
      <c r="B4" s="98">
        <v>1028.0</v>
      </c>
      <c r="C4" s="98"/>
      <c r="D4" s="94"/>
      <c r="E4" s="111">
        <f t="shared" ref="E4:E22" si="1">SUM(B4:D4)</f>
        <v>1028</v>
      </c>
      <c r="F4" s="98">
        <v>1028.0</v>
      </c>
      <c r="G4" s="53"/>
      <c r="H4" s="56"/>
      <c r="I4" s="105"/>
    </row>
    <row r="5">
      <c r="A5" s="20" t="s">
        <v>308</v>
      </c>
      <c r="B5" s="98">
        <v>3796.84</v>
      </c>
      <c r="C5" s="98"/>
      <c r="D5" s="98"/>
      <c r="E5" s="111">
        <f t="shared" si="1"/>
        <v>3796.84</v>
      </c>
      <c r="F5" s="98"/>
      <c r="G5" s="98">
        <v>3797.0</v>
      </c>
      <c r="H5" s="114"/>
      <c r="I5" s="115"/>
    </row>
    <row r="6">
      <c r="A6" s="20" t="s">
        <v>126</v>
      </c>
      <c r="B6" s="98">
        <v>1125.37</v>
      </c>
      <c r="C6" s="98">
        <v>1000.0</v>
      </c>
      <c r="D6" s="98"/>
      <c r="E6" s="111">
        <f t="shared" si="1"/>
        <v>2125.37</v>
      </c>
      <c r="F6" s="98"/>
      <c r="G6" s="20">
        <v>2125.0</v>
      </c>
      <c r="H6" s="44"/>
      <c r="I6" s="105"/>
    </row>
    <row r="7">
      <c r="A7" s="20" t="s">
        <v>143</v>
      </c>
      <c r="B7" s="98">
        <v>268.39</v>
      </c>
      <c r="C7" s="98">
        <v>1086.669998</v>
      </c>
      <c r="D7" s="98"/>
      <c r="E7" s="111">
        <f t="shared" si="1"/>
        <v>1355.059998</v>
      </c>
      <c r="F7" s="98"/>
      <c r="G7" s="98">
        <v>1355.0</v>
      </c>
      <c r="H7" s="114"/>
      <c r="I7" s="105"/>
    </row>
    <row r="8">
      <c r="A8" s="20" t="s">
        <v>150</v>
      </c>
      <c r="B8" s="98">
        <v>324.0</v>
      </c>
      <c r="C8" s="98"/>
      <c r="D8" s="94"/>
      <c r="E8" s="111">
        <f t="shared" si="1"/>
        <v>324</v>
      </c>
      <c r="F8" s="98"/>
      <c r="G8" s="20">
        <v>324.0</v>
      </c>
      <c r="H8" s="116"/>
      <c r="I8" s="105"/>
    </row>
    <row r="9">
      <c r="A9" s="20" t="s">
        <v>152</v>
      </c>
      <c r="B9" s="98">
        <v>996.97</v>
      </c>
      <c r="C9" s="98"/>
      <c r="D9" s="98"/>
      <c r="E9" s="111">
        <f t="shared" si="1"/>
        <v>996.97</v>
      </c>
      <c r="F9" s="98">
        <v>997.0</v>
      </c>
      <c r="G9" s="20"/>
      <c r="H9" s="44"/>
      <c r="I9" s="114"/>
    </row>
    <row r="10">
      <c r="A10" s="20" t="s">
        <v>81</v>
      </c>
      <c r="B10" s="98">
        <v>811.0</v>
      </c>
      <c r="C10" s="98"/>
      <c r="D10" s="94"/>
      <c r="E10" s="111">
        <f t="shared" si="1"/>
        <v>811</v>
      </c>
      <c r="F10" s="98">
        <v>811.0</v>
      </c>
      <c r="G10" s="20"/>
      <c r="H10" s="44"/>
      <c r="I10" s="105"/>
    </row>
    <row r="11">
      <c r="A11" s="20" t="s">
        <v>174</v>
      </c>
      <c r="B11" s="98">
        <v>1271.51</v>
      </c>
      <c r="C11" s="98"/>
      <c r="D11" s="94"/>
      <c r="E11" s="111">
        <f t="shared" si="1"/>
        <v>1271.51</v>
      </c>
      <c r="F11" s="98">
        <v>1272.0</v>
      </c>
      <c r="G11" s="20"/>
      <c r="H11" s="44"/>
      <c r="I11" s="105"/>
    </row>
    <row r="12">
      <c r="A12" s="20" t="s">
        <v>176</v>
      </c>
      <c r="B12" s="98">
        <v>440.56</v>
      </c>
      <c r="C12" s="98"/>
      <c r="D12" s="94"/>
      <c r="E12" s="111">
        <f t="shared" si="1"/>
        <v>440.56</v>
      </c>
      <c r="F12" s="98">
        <v>441.0</v>
      </c>
      <c r="G12" s="20"/>
      <c r="H12" s="44"/>
      <c r="I12" s="105"/>
    </row>
    <row r="13">
      <c r="A13" s="20" t="s">
        <v>309</v>
      </c>
      <c r="B13" s="98"/>
      <c r="C13" s="98"/>
      <c r="D13" s="98">
        <v>500.0</v>
      </c>
      <c r="E13" s="111">
        <f t="shared" si="1"/>
        <v>500</v>
      </c>
      <c r="F13" s="98"/>
      <c r="G13" s="20">
        <v>500.0</v>
      </c>
      <c r="H13" s="44"/>
      <c r="I13" s="105"/>
    </row>
    <row r="14">
      <c r="A14" s="20" t="s">
        <v>195</v>
      </c>
      <c r="B14" s="98">
        <v>348.69</v>
      </c>
      <c r="C14" s="98"/>
      <c r="D14" s="94"/>
      <c r="E14" s="111">
        <f t="shared" si="1"/>
        <v>348.69</v>
      </c>
      <c r="F14" s="98">
        <v>349.0</v>
      </c>
      <c r="G14" s="53"/>
      <c r="H14" s="56"/>
      <c r="I14" s="117"/>
    </row>
    <row r="15">
      <c r="A15" s="20" t="s">
        <v>312</v>
      </c>
      <c r="B15" s="98">
        <v>681.0344828</v>
      </c>
      <c r="C15" s="98"/>
      <c r="D15" s="98"/>
      <c r="E15" s="111">
        <f t="shared" si="1"/>
        <v>681.0344828</v>
      </c>
      <c r="F15" s="98"/>
      <c r="G15" s="98">
        <v>681.0</v>
      </c>
      <c r="H15" s="114"/>
      <c r="I15" s="105"/>
    </row>
    <row r="16">
      <c r="A16" s="20" t="s">
        <v>215</v>
      </c>
      <c r="B16" s="98"/>
      <c r="C16" s="98">
        <v>400.0</v>
      </c>
      <c r="D16" s="98"/>
      <c r="E16" s="111">
        <f t="shared" si="1"/>
        <v>400</v>
      </c>
      <c r="F16" s="98">
        <v>400.0</v>
      </c>
      <c r="G16" s="53"/>
      <c r="H16" s="56"/>
      <c r="I16" s="105"/>
    </row>
    <row r="17">
      <c r="A17" s="20" t="s">
        <v>285</v>
      </c>
      <c r="B17" s="98">
        <v>890.69</v>
      </c>
      <c r="C17" s="98"/>
      <c r="D17" s="94"/>
      <c r="E17" s="111">
        <f t="shared" si="1"/>
        <v>890.69</v>
      </c>
      <c r="F17" s="98">
        <f>SUM(C17:E17)</f>
        <v>890.69</v>
      </c>
      <c r="G17" s="98"/>
      <c r="H17" s="114"/>
      <c r="I17" s="105"/>
    </row>
    <row r="18">
      <c r="A18" s="20" t="s">
        <v>88</v>
      </c>
      <c r="B18" s="98">
        <v>138.45</v>
      </c>
      <c r="C18" s="98"/>
      <c r="D18" s="98"/>
      <c r="E18" s="111">
        <f t="shared" si="1"/>
        <v>138.45</v>
      </c>
      <c r="F18" s="98">
        <v>138.0</v>
      </c>
      <c r="G18" s="53"/>
      <c r="H18" s="56"/>
      <c r="I18" s="105"/>
    </row>
    <row r="19">
      <c r="A19" s="20" t="s">
        <v>261</v>
      </c>
      <c r="B19" s="98">
        <v>595.87</v>
      </c>
      <c r="C19" s="98"/>
      <c r="D19" s="94"/>
      <c r="E19" s="111">
        <f t="shared" si="1"/>
        <v>595.87</v>
      </c>
      <c r="F19" s="98">
        <v>596.0</v>
      </c>
      <c r="G19" s="98"/>
      <c r="H19" s="114"/>
      <c r="I19" s="105"/>
    </row>
    <row r="20">
      <c r="A20" s="20" t="s">
        <v>269</v>
      </c>
      <c r="B20" s="98">
        <v>278.63</v>
      </c>
      <c r="C20" s="98"/>
      <c r="D20" s="94"/>
      <c r="E20" s="111">
        <f t="shared" si="1"/>
        <v>278.63</v>
      </c>
      <c r="F20" s="98">
        <v>279.0</v>
      </c>
      <c r="G20" s="53"/>
      <c r="H20" s="56"/>
      <c r="I20" s="114"/>
    </row>
    <row r="21">
      <c r="A21" s="20" t="s">
        <v>271</v>
      </c>
      <c r="B21" s="98">
        <v>436.86</v>
      </c>
      <c r="C21" s="98"/>
      <c r="D21" s="98"/>
      <c r="E21" s="111">
        <f t="shared" si="1"/>
        <v>436.86</v>
      </c>
      <c r="F21" s="98">
        <v>437.0</v>
      </c>
      <c r="G21" s="53"/>
      <c r="H21" s="56"/>
      <c r="I21" s="105"/>
    </row>
    <row r="22">
      <c r="A22" s="20" t="s">
        <v>313</v>
      </c>
      <c r="B22" s="98">
        <v>268.56</v>
      </c>
      <c r="C22" s="98">
        <v>253.3300018</v>
      </c>
      <c r="D22" s="98"/>
      <c r="E22" s="111">
        <f t="shared" si="1"/>
        <v>521.8900018</v>
      </c>
      <c r="F22" s="98"/>
      <c r="G22" s="53">
        <v>522.0</v>
      </c>
      <c r="H22" s="56"/>
      <c r="I22" s="105"/>
    </row>
    <row r="23">
      <c r="A23" s="46" t="s">
        <v>11</v>
      </c>
      <c r="B23" s="48">
        <f t="shared" ref="B23:G23" si="2">SUM(B4:B22)</f>
        <v>13701.42448</v>
      </c>
      <c r="C23" s="48">
        <f t="shared" si="2"/>
        <v>2740</v>
      </c>
      <c r="D23" s="48">
        <f t="shared" si="2"/>
        <v>500</v>
      </c>
      <c r="E23" s="48">
        <f t="shared" si="2"/>
        <v>16941.42448</v>
      </c>
      <c r="F23" s="48">
        <f t="shared" si="2"/>
        <v>7638.69</v>
      </c>
      <c r="G23" s="118">
        <f t="shared" si="2"/>
        <v>9304</v>
      </c>
      <c r="H23" s="119"/>
      <c r="I23" s="105"/>
    </row>
    <row r="24">
      <c r="J24" s="105"/>
    </row>
    <row r="25">
      <c r="J25" s="105"/>
    </row>
    <row r="26">
      <c r="J26" s="105"/>
    </row>
    <row r="27">
      <c r="J27" s="105"/>
    </row>
    <row r="28">
      <c r="J28" s="105"/>
    </row>
    <row r="29" ht="20.25" customHeight="1">
      <c r="A29" s="120" t="s">
        <v>50</v>
      </c>
      <c r="B29" s="120" t="s">
        <v>51</v>
      </c>
      <c r="C29" s="120" t="s">
        <v>52</v>
      </c>
      <c r="D29" s="120" t="s">
        <v>53</v>
      </c>
      <c r="E29" s="121" t="s">
        <v>54</v>
      </c>
      <c r="F29" s="120" t="s">
        <v>55</v>
      </c>
      <c r="G29" s="120" t="s">
        <v>56</v>
      </c>
      <c r="H29" s="120"/>
      <c r="I29" s="120" t="s">
        <v>320</v>
      </c>
      <c r="J29" s="122" t="s">
        <v>321</v>
      </c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</row>
    <row r="30">
      <c r="A30" s="20">
        <v>2026.0</v>
      </c>
      <c r="B30" s="20">
        <v>4.0</v>
      </c>
      <c r="C30" s="20" t="s">
        <v>177</v>
      </c>
      <c r="D30" s="20" t="s">
        <v>178</v>
      </c>
      <c r="E30" s="20" t="s">
        <v>126</v>
      </c>
      <c r="F30" s="20" t="s">
        <v>68</v>
      </c>
      <c r="G30" s="20"/>
      <c r="H30" s="20"/>
      <c r="I30" s="20"/>
      <c r="J30" s="98">
        <v>200.0</v>
      </c>
    </row>
    <row r="31">
      <c r="A31" s="20">
        <v>2026.0</v>
      </c>
      <c r="B31" s="20">
        <v>5.0</v>
      </c>
      <c r="C31" s="20" t="s">
        <v>177</v>
      </c>
      <c r="D31" s="20" t="s">
        <v>178</v>
      </c>
      <c r="E31" s="20" t="s">
        <v>126</v>
      </c>
      <c r="F31" s="20" t="s">
        <v>68</v>
      </c>
      <c r="G31" s="20"/>
      <c r="H31" s="20"/>
      <c r="I31" s="20"/>
      <c r="J31" s="98">
        <v>200.0</v>
      </c>
    </row>
    <row r="32">
      <c r="A32" s="20">
        <v>2026.0</v>
      </c>
      <c r="B32" s="20">
        <v>4.0</v>
      </c>
      <c r="C32" s="20" t="s">
        <v>262</v>
      </c>
      <c r="D32" s="20" t="s">
        <v>263</v>
      </c>
      <c r="E32" s="20" t="s">
        <v>126</v>
      </c>
      <c r="F32" s="20" t="s">
        <v>68</v>
      </c>
      <c r="G32" s="20"/>
      <c r="H32" s="20"/>
      <c r="I32" s="20"/>
      <c r="J32" s="98">
        <v>200.0</v>
      </c>
    </row>
    <row r="33">
      <c r="A33" s="20">
        <v>2026.0</v>
      </c>
      <c r="B33" s="20">
        <v>5.0</v>
      </c>
      <c r="C33" s="20" t="s">
        <v>262</v>
      </c>
      <c r="D33" s="20" t="s">
        <v>263</v>
      </c>
      <c r="E33" s="20" t="s">
        <v>126</v>
      </c>
      <c r="F33" s="20" t="s">
        <v>68</v>
      </c>
      <c r="G33" s="20"/>
      <c r="H33" s="20"/>
      <c r="I33" s="20"/>
      <c r="J33" s="98">
        <v>200.0</v>
      </c>
    </row>
    <row r="34">
      <c r="A34" s="20">
        <v>2026.0</v>
      </c>
      <c r="B34" s="20">
        <v>6.0</v>
      </c>
      <c r="C34" s="20" t="s">
        <v>262</v>
      </c>
      <c r="D34" s="20" t="s">
        <v>263</v>
      </c>
      <c r="E34" s="20" t="s">
        <v>126</v>
      </c>
      <c r="F34" s="20" t="s">
        <v>68</v>
      </c>
      <c r="G34" s="20"/>
      <c r="H34" s="20"/>
      <c r="I34" s="20"/>
      <c r="J34" s="98">
        <v>200.0</v>
      </c>
    </row>
    <row r="35">
      <c r="A35" s="20">
        <v>2026.0</v>
      </c>
      <c r="B35" s="20">
        <v>4.0</v>
      </c>
      <c r="C35" s="20" t="s">
        <v>282</v>
      </c>
      <c r="D35" s="20" t="s">
        <v>283</v>
      </c>
      <c r="E35" s="20" t="s">
        <v>143</v>
      </c>
      <c r="F35" s="20" t="s">
        <v>68</v>
      </c>
      <c r="G35" s="20"/>
      <c r="H35" s="20"/>
      <c r="I35" s="20"/>
      <c r="J35" s="98">
        <v>86.66999817</v>
      </c>
    </row>
    <row r="36">
      <c r="A36" s="20">
        <v>2026.0</v>
      </c>
      <c r="B36" s="20">
        <v>5.0</v>
      </c>
      <c r="C36" s="20" t="s">
        <v>282</v>
      </c>
      <c r="D36" s="20" t="s">
        <v>283</v>
      </c>
      <c r="E36" s="20" t="s">
        <v>143</v>
      </c>
      <c r="F36" s="20" t="s">
        <v>68</v>
      </c>
      <c r="G36" s="20"/>
      <c r="H36" s="20"/>
      <c r="I36" s="20"/>
      <c r="J36" s="98">
        <v>200.0</v>
      </c>
    </row>
    <row r="37">
      <c r="A37" s="20">
        <v>2026.0</v>
      </c>
      <c r="B37" s="20">
        <v>6.0</v>
      </c>
      <c r="C37" s="20" t="s">
        <v>282</v>
      </c>
      <c r="D37" s="20" t="s">
        <v>283</v>
      </c>
      <c r="E37" s="20" t="s">
        <v>143</v>
      </c>
      <c r="F37" s="20" t="s">
        <v>68</v>
      </c>
      <c r="G37" s="20"/>
      <c r="H37" s="20"/>
      <c r="I37" s="20"/>
      <c r="J37" s="98">
        <v>200.0</v>
      </c>
    </row>
    <row r="38">
      <c r="A38" s="20">
        <v>2026.0</v>
      </c>
      <c r="B38" s="20">
        <v>4.0</v>
      </c>
      <c r="C38" s="20" t="s">
        <v>173</v>
      </c>
      <c r="D38" s="20" t="s">
        <v>174</v>
      </c>
      <c r="E38" s="20" t="s">
        <v>143</v>
      </c>
      <c r="F38" s="20" t="s">
        <v>68</v>
      </c>
      <c r="G38" s="20"/>
      <c r="H38" s="20"/>
      <c r="I38" s="20"/>
      <c r="J38" s="98">
        <v>200.0</v>
      </c>
    </row>
    <row r="39">
      <c r="A39" s="20">
        <v>2026.0</v>
      </c>
      <c r="B39" s="20">
        <v>5.0</v>
      </c>
      <c r="C39" s="20" t="s">
        <v>173</v>
      </c>
      <c r="D39" s="20" t="s">
        <v>174</v>
      </c>
      <c r="E39" s="20" t="s">
        <v>143</v>
      </c>
      <c r="F39" s="20" t="s">
        <v>68</v>
      </c>
      <c r="G39" s="20"/>
      <c r="H39" s="20"/>
      <c r="I39" s="20"/>
      <c r="J39" s="98">
        <v>200.0</v>
      </c>
    </row>
    <row r="40">
      <c r="A40" s="20">
        <v>2026.0</v>
      </c>
      <c r="B40" s="20">
        <v>6.0</v>
      </c>
      <c r="C40" s="20" t="s">
        <v>173</v>
      </c>
      <c r="D40" s="20" t="s">
        <v>174</v>
      </c>
      <c r="E40" s="20" t="s">
        <v>143</v>
      </c>
      <c r="F40" s="20" t="s">
        <v>68</v>
      </c>
      <c r="G40" s="20"/>
      <c r="H40" s="20"/>
      <c r="I40" s="20"/>
      <c r="J40" s="98">
        <v>200.0</v>
      </c>
    </row>
    <row r="41">
      <c r="A41" s="20">
        <v>2026.0</v>
      </c>
      <c r="B41" s="20">
        <v>4.0</v>
      </c>
      <c r="C41" s="20" t="s">
        <v>62</v>
      </c>
      <c r="D41" s="20" t="s">
        <v>251</v>
      </c>
      <c r="E41" s="20" t="s">
        <v>215</v>
      </c>
      <c r="F41" s="20" t="s">
        <v>328</v>
      </c>
      <c r="G41" s="20"/>
      <c r="H41" s="20"/>
      <c r="I41" s="20"/>
      <c r="J41" s="98">
        <v>200.0</v>
      </c>
    </row>
    <row r="42">
      <c r="A42" s="20">
        <v>2026.0</v>
      </c>
      <c r="B42" s="20">
        <v>5.0</v>
      </c>
      <c r="C42" s="20" t="s">
        <v>62</v>
      </c>
      <c r="D42" s="20" t="s">
        <v>251</v>
      </c>
      <c r="E42" s="20" t="s">
        <v>215</v>
      </c>
      <c r="F42" s="20" t="s">
        <v>328</v>
      </c>
      <c r="G42" s="20"/>
      <c r="H42" s="20"/>
      <c r="I42" s="20"/>
      <c r="J42" s="98">
        <v>200.0</v>
      </c>
    </row>
    <row r="43">
      <c r="A43" s="20">
        <v>2026.0</v>
      </c>
      <c r="B43" s="20">
        <v>4.0</v>
      </c>
      <c r="C43" s="20" t="s">
        <v>108</v>
      </c>
      <c r="D43" s="20" t="s">
        <v>109</v>
      </c>
      <c r="E43" s="20" t="s">
        <v>313</v>
      </c>
      <c r="F43" s="20" t="s">
        <v>68</v>
      </c>
      <c r="G43" s="20"/>
      <c r="H43" s="20"/>
      <c r="I43" s="20"/>
      <c r="J43" s="98">
        <v>53.33000183</v>
      </c>
    </row>
    <row r="44">
      <c r="A44" s="20">
        <v>2026.0</v>
      </c>
      <c r="B44" s="20">
        <v>5.0</v>
      </c>
      <c r="C44" s="20" t="s">
        <v>108</v>
      </c>
      <c r="D44" s="20" t="s">
        <v>109</v>
      </c>
      <c r="E44" s="20" t="s">
        <v>313</v>
      </c>
      <c r="F44" s="20" t="s">
        <v>68</v>
      </c>
      <c r="G44" s="20"/>
      <c r="H44" s="20"/>
      <c r="I44" s="20"/>
      <c r="J44" s="98">
        <v>100.0</v>
      </c>
    </row>
    <row r="45">
      <c r="A45" s="20">
        <v>2026.0</v>
      </c>
      <c r="B45" s="20">
        <v>6.0</v>
      </c>
      <c r="C45" s="20" t="s">
        <v>108</v>
      </c>
      <c r="D45" s="20" t="s">
        <v>109</v>
      </c>
      <c r="E45" s="20" t="s">
        <v>313</v>
      </c>
      <c r="F45" s="20" t="s">
        <v>68</v>
      </c>
      <c r="G45" s="20"/>
      <c r="H45" s="20"/>
      <c r="I45" s="20"/>
      <c r="J45" s="98">
        <v>100.0</v>
      </c>
    </row>
    <row r="46">
      <c r="A46" s="20">
        <v>2026.0</v>
      </c>
      <c r="B46" s="20">
        <v>6.0</v>
      </c>
      <c r="C46" s="20"/>
      <c r="D46" s="20" t="s">
        <v>287</v>
      </c>
      <c r="E46" s="20" t="s">
        <v>309</v>
      </c>
      <c r="F46" s="20" t="s">
        <v>16</v>
      </c>
      <c r="G46" s="20"/>
      <c r="H46" s="20"/>
      <c r="I46" s="20">
        <v>0.0</v>
      </c>
      <c r="J46" s="98">
        <v>500.0</v>
      </c>
    </row>
    <row r="47">
      <c r="A47" s="20">
        <v>2026.0</v>
      </c>
      <c r="B47" s="20">
        <v>4.0</v>
      </c>
      <c r="C47" s="20" t="s">
        <v>99</v>
      </c>
      <c r="D47" s="20" t="s">
        <v>83</v>
      </c>
      <c r="E47" s="20" t="s">
        <v>176</v>
      </c>
      <c r="F47" s="20" t="s">
        <v>322</v>
      </c>
      <c r="G47" s="20">
        <v>20.0</v>
      </c>
      <c r="H47" s="20"/>
      <c r="I47" s="20">
        <v>4.76</v>
      </c>
      <c r="J47" s="98">
        <v>95.17</v>
      </c>
    </row>
    <row r="48">
      <c r="A48" s="20">
        <v>2026.0</v>
      </c>
      <c r="B48" s="20">
        <v>5.0</v>
      </c>
      <c r="C48" s="20" t="s">
        <v>99</v>
      </c>
      <c r="D48" s="20" t="s">
        <v>83</v>
      </c>
      <c r="E48" s="20" t="s">
        <v>176</v>
      </c>
      <c r="F48" s="20" t="s">
        <v>322</v>
      </c>
      <c r="G48" s="20">
        <v>3.5</v>
      </c>
      <c r="H48" s="20"/>
      <c r="I48" s="20">
        <v>4.76</v>
      </c>
      <c r="J48" s="98">
        <v>16.66</v>
      </c>
    </row>
    <row r="49">
      <c r="A49" s="20">
        <v>2026.0</v>
      </c>
      <c r="B49" s="20">
        <v>5.0</v>
      </c>
      <c r="C49" s="20" t="s">
        <v>99</v>
      </c>
      <c r="D49" s="20" t="s">
        <v>83</v>
      </c>
      <c r="E49" s="20" t="s">
        <v>176</v>
      </c>
      <c r="F49" s="20" t="s">
        <v>322</v>
      </c>
      <c r="G49" s="20">
        <v>12.5</v>
      </c>
      <c r="H49" s="20"/>
      <c r="I49" s="20">
        <v>4.76</v>
      </c>
      <c r="J49" s="98">
        <v>59.48</v>
      </c>
    </row>
    <row r="50">
      <c r="A50" s="20">
        <v>2026.0</v>
      </c>
      <c r="B50" s="20">
        <v>6.0</v>
      </c>
      <c r="C50" s="20" t="s">
        <v>82</v>
      </c>
      <c r="D50" s="20" t="s">
        <v>83</v>
      </c>
      <c r="E50" s="20" t="s">
        <v>176</v>
      </c>
      <c r="F50" s="20" t="s">
        <v>322</v>
      </c>
      <c r="G50" s="20">
        <v>19.0</v>
      </c>
      <c r="H50" s="20"/>
      <c r="I50" s="20">
        <v>4.41</v>
      </c>
      <c r="J50" s="98">
        <v>83.86</v>
      </c>
    </row>
    <row r="51">
      <c r="A51" s="20">
        <v>2026.0</v>
      </c>
      <c r="B51" s="20">
        <v>4.0</v>
      </c>
      <c r="C51" s="20" t="s">
        <v>114</v>
      </c>
      <c r="D51" s="20" t="s">
        <v>101</v>
      </c>
      <c r="E51" s="20" t="s">
        <v>88</v>
      </c>
      <c r="F51" s="20" t="s">
        <v>322</v>
      </c>
      <c r="G51" s="20">
        <v>21.0</v>
      </c>
      <c r="H51" s="20"/>
      <c r="I51" s="20">
        <v>5.03</v>
      </c>
      <c r="J51" s="98">
        <v>105.72</v>
      </c>
    </row>
    <row r="52">
      <c r="A52" s="20">
        <v>2026.0</v>
      </c>
      <c r="B52" s="20">
        <v>5.0</v>
      </c>
      <c r="C52" s="20" t="s">
        <v>114</v>
      </c>
      <c r="D52" s="20" t="s">
        <v>101</v>
      </c>
      <c r="E52" s="20" t="s">
        <v>88</v>
      </c>
      <c r="F52" s="20" t="s">
        <v>322</v>
      </c>
      <c r="G52" s="20">
        <v>6.0</v>
      </c>
      <c r="H52" s="20"/>
      <c r="I52" s="20">
        <v>5.03</v>
      </c>
      <c r="J52" s="98">
        <v>30.21</v>
      </c>
    </row>
    <row r="53">
      <c r="A53" s="20">
        <v>2026.0</v>
      </c>
      <c r="B53" s="20">
        <v>6.0</v>
      </c>
      <c r="C53" s="20" t="s">
        <v>114</v>
      </c>
      <c r="D53" s="20" t="s">
        <v>101</v>
      </c>
      <c r="E53" s="20" t="s">
        <v>88</v>
      </c>
      <c r="F53" s="20" t="s">
        <v>322</v>
      </c>
      <c r="G53" s="20">
        <v>0.5</v>
      </c>
      <c r="H53" s="20"/>
      <c r="I53" s="20">
        <v>5.03</v>
      </c>
      <c r="J53" s="98">
        <v>2.52</v>
      </c>
    </row>
    <row r="54">
      <c r="A54" s="20">
        <v>2026.0</v>
      </c>
      <c r="B54" s="20">
        <v>4.0</v>
      </c>
      <c r="C54" s="20" t="s">
        <v>117</v>
      </c>
      <c r="D54" s="20" t="s">
        <v>118</v>
      </c>
      <c r="E54" s="20" t="s">
        <v>176</v>
      </c>
      <c r="F54" s="20" t="s">
        <v>322</v>
      </c>
      <c r="G54" s="20">
        <v>19.0</v>
      </c>
      <c r="H54" s="20"/>
      <c r="I54" s="20">
        <v>3.31</v>
      </c>
      <c r="J54" s="98">
        <v>62.9</v>
      </c>
    </row>
    <row r="55">
      <c r="A55" s="20">
        <v>2026.0</v>
      </c>
      <c r="B55" s="20">
        <v>5.0</v>
      </c>
      <c r="C55" s="20" t="s">
        <v>117</v>
      </c>
      <c r="D55" s="20" t="s">
        <v>118</v>
      </c>
      <c r="E55" s="20" t="s">
        <v>176</v>
      </c>
      <c r="F55" s="20" t="s">
        <v>322</v>
      </c>
      <c r="G55" s="20">
        <v>18.0</v>
      </c>
      <c r="H55" s="20"/>
      <c r="I55" s="20">
        <v>3.31</v>
      </c>
      <c r="J55" s="98">
        <v>59.59</v>
      </c>
    </row>
    <row r="56">
      <c r="A56" s="20">
        <v>2026.0</v>
      </c>
      <c r="B56" s="20">
        <v>6.0</v>
      </c>
      <c r="C56" s="20" t="s">
        <v>117</v>
      </c>
      <c r="D56" s="20" t="s">
        <v>118</v>
      </c>
      <c r="E56" s="20" t="s">
        <v>176</v>
      </c>
      <c r="F56" s="20" t="s">
        <v>322</v>
      </c>
      <c r="G56" s="20">
        <v>19.0</v>
      </c>
      <c r="H56" s="20"/>
      <c r="I56" s="20">
        <v>3.31</v>
      </c>
      <c r="J56" s="98">
        <v>62.9</v>
      </c>
    </row>
    <row r="57">
      <c r="A57" s="20">
        <v>2026.0</v>
      </c>
      <c r="B57" s="20">
        <v>4.0</v>
      </c>
      <c r="C57" s="20" t="s">
        <v>326</v>
      </c>
      <c r="D57" s="20" t="s">
        <v>327</v>
      </c>
      <c r="E57" s="20" t="s">
        <v>308</v>
      </c>
      <c r="F57" s="20" t="s">
        <v>322</v>
      </c>
      <c r="G57" s="20">
        <v>17.5</v>
      </c>
      <c r="H57" s="20"/>
      <c r="I57" s="20">
        <v>2.76</v>
      </c>
      <c r="J57" s="98">
        <v>48.28</v>
      </c>
    </row>
    <row r="58">
      <c r="A58" s="20">
        <v>2026.0</v>
      </c>
      <c r="B58" s="20">
        <v>5.0</v>
      </c>
      <c r="C58" s="20" t="s">
        <v>326</v>
      </c>
      <c r="D58" s="20" t="s">
        <v>327</v>
      </c>
      <c r="E58" s="20" t="s">
        <v>308</v>
      </c>
      <c r="F58" s="20" t="s">
        <v>322</v>
      </c>
      <c r="G58" s="20">
        <v>11.5</v>
      </c>
      <c r="H58" s="20"/>
      <c r="I58" s="20">
        <v>2.76</v>
      </c>
      <c r="J58" s="98">
        <v>31.72</v>
      </c>
    </row>
    <row r="59">
      <c r="A59" s="20">
        <v>2026.0</v>
      </c>
      <c r="B59" s="20">
        <v>6.0</v>
      </c>
      <c r="C59" s="20" t="s">
        <v>326</v>
      </c>
      <c r="D59" s="20" t="s">
        <v>327</v>
      </c>
      <c r="E59" s="20" t="s">
        <v>308</v>
      </c>
      <c r="F59" s="20" t="s">
        <v>322</v>
      </c>
      <c r="G59" s="20">
        <v>20.0</v>
      </c>
      <c r="H59" s="20"/>
      <c r="I59" s="20">
        <v>2.76</v>
      </c>
      <c r="J59" s="98">
        <v>55.17</v>
      </c>
    </row>
    <row r="60">
      <c r="A60" s="20">
        <v>2026.0</v>
      </c>
      <c r="B60" s="20">
        <v>4.0</v>
      </c>
      <c r="C60" s="20" t="s">
        <v>62</v>
      </c>
      <c r="D60" s="20" t="s">
        <v>126</v>
      </c>
      <c r="E60" s="20" t="s">
        <v>126</v>
      </c>
      <c r="F60" s="20" t="s">
        <v>322</v>
      </c>
      <c r="G60" s="20">
        <v>17.5</v>
      </c>
      <c r="H60" s="20"/>
      <c r="I60" s="20">
        <v>0.34</v>
      </c>
      <c r="J60" s="98">
        <v>6.03</v>
      </c>
    </row>
    <row r="61">
      <c r="A61" s="20">
        <v>2026.0</v>
      </c>
      <c r="B61" s="20">
        <v>4.0</v>
      </c>
      <c r="C61" s="20" t="s">
        <v>62</v>
      </c>
      <c r="D61" s="20" t="s">
        <v>126</v>
      </c>
      <c r="E61" s="20" t="s">
        <v>143</v>
      </c>
      <c r="F61" s="20" t="s">
        <v>322</v>
      </c>
      <c r="G61" s="20">
        <v>17.5</v>
      </c>
      <c r="H61" s="20"/>
      <c r="I61" s="20">
        <v>0.21</v>
      </c>
      <c r="J61" s="98">
        <v>3.62</v>
      </c>
    </row>
    <row r="62">
      <c r="A62" s="20">
        <v>2026.0</v>
      </c>
      <c r="B62" s="20">
        <v>5.0</v>
      </c>
      <c r="C62" s="20" t="s">
        <v>62</v>
      </c>
      <c r="D62" s="20" t="s">
        <v>126</v>
      </c>
      <c r="E62" s="20" t="s">
        <v>126</v>
      </c>
      <c r="F62" s="20" t="s">
        <v>322</v>
      </c>
      <c r="G62" s="20">
        <v>12.0</v>
      </c>
      <c r="H62" s="20"/>
      <c r="I62" s="20">
        <v>0.34</v>
      </c>
      <c r="J62" s="98">
        <v>4.14</v>
      </c>
    </row>
    <row r="63">
      <c r="A63" s="20">
        <v>2026.0</v>
      </c>
      <c r="B63" s="20">
        <v>5.0</v>
      </c>
      <c r="C63" s="20" t="s">
        <v>62</v>
      </c>
      <c r="D63" s="20" t="s">
        <v>126</v>
      </c>
      <c r="E63" s="20" t="s">
        <v>143</v>
      </c>
      <c r="F63" s="20" t="s">
        <v>322</v>
      </c>
      <c r="G63" s="20">
        <v>12.0</v>
      </c>
      <c r="H63" s="20"/>
      <c r="I63" s="20">
        <v>0.21</v>
      </c>
      <c r="J63" s="98">
        <v>2.48</v>
      </c>
    </row>
    <row r="64">
      <c r="A64" s="20">
        <v>2026.0</v>
      </c>
      <c r="B64" s="20">
        <v>6.0</v>
      </c>
      <c r="C64" s="20" t="s">
        <v>62</v>
      </c>
      <c r="D64" s="20" t="s">
        <v>126</v>
      </c>
      <c r="E64" s="20" t="s">
        <v>126</v>
      </c>
      <c r="F64" s="20" t="s">
        <v>322</v>
      </c>
      <c r="G64" s="20">
        <v>16.5</v>
      </c>
      <c r="H64" s="20"/>
      <c r="I64" s="20">
        <v>0.34</v>
      </c>
      <c r="J64" s="98">
        <v>5.69</v>
      </c>
    </row>
    <row r="65">
      <c r="A65" s="20">
        <v>2026.0</v>
      </c>
      <c r="B65" s="20">
        <v>6.0</v>
      </c>
      <c r="C65" s="20" t="s">
        <v>62</v>
      </c>
      <c r="D65" s="20" t="s">
        <v>126</v>
      </c>
      <c r="E65" s="20" t="s">
        <v>143</v>
      </c>
      <c r="F65" s="20" t="s">
        <v>322</v>
      </c>
      <c r="G65" s="20">
        <v>16.5</v>
      </c>
      <c r="H65" s="20"/>
      <c r="I65" s="20">
        <v>0.21</v>
      </c>
      <c r="J65" s="98">
        <v>3.41</v>
      </c>
    </row>
    <row r="66">
      <c r="A66" s="20">
        <v>2026.0</v>
      </c>
      <c r="B66" s="20">
        <v>4.0</v>
      </c>
      <c r="C66" s="20" t="s">
        <v>134</v>
      </c>
      <c r="D66" s="20" t="s">
        <v>107</v>
      </c>
      <c r="E66" s="20" t="s">
        <v>126</v>
      </c>
      <c r="F66" s="20" t="s">
        <v>322</v>
      </c>
      <c r="G66" s="20">
        <v>13.0</v>
      </c>
      <c r="H66" s="20"/>
      <c r="I66" s="20">
        <v>4.48</v>
      </c>
      <c r="J66" s="98">
        <v>58.28</v>
      </c>
    </row>
    <row r="67">
      <c r="A67" s="20">
        <v>2026.0</v>
      </c>
      <c r="B67" s="20">
        <v>5.0</v>
      </c>
      <c r="C67" s="20" t="s">
        <v>134</v>
      </c>
      <c r="D67" s="20" t="s">
        <v>107</v>
      </c>
      <c r="E67" s="20" t="s">
        <v>126</v>
      </c>
      <c r="F67" s="20" t="s">
        <v>322</v>
      </c>
      <c r="G67" s="20">
        <v>15.5</v>
      </c>
      <c r="H67" s="20"/>
      <c r="I67" s="20">
        <v>4.48</v>
      </c>
      <c r="J67" s="98">
        <v>69.48</v>
      </c>
    </row>
    <row r="68">
      <c r="A68" s="20">
        <v>2026.0</v>
      </c>
      <c r="B68" s="20">
        <v>6.0</v>
      </c>
      <c r="C68" s="20" t="s">
        <v>134</v>
      </c>
      <c r="D68" s="20" t="s">
        <v>107</v>
      </c>
      <c r="E68" s="20" t="s">
        <v>126</v>
      </c>
      <c r="F68" s="20" t="s">
        <v>322</v>
      </c>
      <c r="G68" s="20">
        <v>7.0</v>
      </c>
      <c r="H68" s="20"/>
      <c r="I68" s="20">
        <v>4.48</v>
      </c>
      <c r="J68" s="98">
        <v>31.38</v>
      </c>
    </row>
    <row r="69">
      <c r="A69" s="20">
        <v>2026.0</v>
      </c>
      <c r="B69" s="20">
        <v>4.0</v>
      </c>
      <c r="C69" s="20" t="s">
        <v>329</v>
      </c>
      <c r="D69" s="20" t="s">
        <v>330</v>
      </c>
      <c r="E69" s="20" t="s">
        <v>308</v>
      </c>
      <c r="F69" s="20" t="s">
        <v>322</v>
      </c>
      <c r="G69" s="20">
        <v>9.0</v>
      </c>
      <c r="H69" s="20"/>
      <c r="I69" s="20">
        <v>6.9</v>
      </c>
      <c r="J69" s="98">
        <v>62.07</v>
      </c>
    </row>
    <row r="70">
      <c r="A70" s="20">
        <v>2026.0</v>
      </c>
      <c r="B70" s="20">
        <v>4.0</v>
      </c>
      <c r="C70" s="20" t="s">
        <v>325</v>
      </c>
      <c r="D70" s="20" t="s">
        <v>324</v>
      </c>
      <c r="E70" s="20" t="s">
        <v>308</v>
      </c>
      <c r="F70" s="20" t="s">
        <v>322</v>
      </c>
      <c r="G70" s="20">
        <v>3.0</v>
      </c>
      <c r="H70" s="20"/>
      <c r="I70" s="20">
        <v>34.48</v>
      </c>
      <c r="J70" s="98">
        <v>103.45</v>
      </c>
    </row>
    <row r="71">
      <c r="A71" s="20">
        <v>2026.0</v>
      </c>
      <c r="B71" s="20">
        <v>4.0</v>
      </c>
      <c r="C71" s="20" t="s">
        <v>76</v>
      </c>
      <c r="D71" s="20" t="s">
        <v>77</v>
      </c>
      <c r="E71" s="20" t="s">
        <v>152</v>
      </c>
      <c r="F71" s="20" t="s">
        <v>322</v>
      </c>
      <c r="G71" s="20">
        <v>21.0</v>
      </c>
      <c r="H71" s="20"/>
      <c r="I71" s="20">
        <v>3.45</v>
      </c>
      <c r="J71" s="98">
        <v>72.41</v>
      </c>
    </row>
    <row r="72">
      <c r="A72" s="20">
        <v>2026.0</v>
      </c>
      <c r="B72" s="20">
        <v>5.0</v>
      </c>
      <c r="C72" s="20" t="s">
        <v>76</v>
      </c>
      <c r="D72" s="20" t="s">
        <v>77</v>
      </c>
      <c r="E72" s="20" t="s">
        <v>152</v>
      </c>
      <c r="F72" s="20" t="s">
        <v>322</v>
      </c>
      <c r="G72" s="20">
        <v>12.0</v>
      </c>
      <c r="H72" s="20"/>
      <c r="I72" s="20">
        <v>3.45</v>
      </c>
      <c r="J72" s="98">
        <v>41.38</v>
      </c>
    </row>
    <row r="73">
      <c r="A73" s="20">
        <v>2026.0</v>
      </c>
      <c r="B73" s="20">
        <v>6.0</v>
      </c>
      <c r="C73" s="20" t="s">
        <v>76</v>
      </c>
      <c r="D73" s="20" t="s">
        <v>77</v>
      </c>
      <c r="E73" s="20" t="s">
        <v>152</v>
      </c>
      <c r="F73" s="20" t="s">
        <v>322</v>
      </c>
      <c r="G73" s="20">
        <v>17.0</v>
      </c>
      <c r="H73" s="20"/>
      <c r="I73" s="20">
        <v>3.45</v>
      </c>
      <c r="J73" s="98">
        <v>58.62</v>
      </c>
    </row>
    <row r="74">
      <c r="A74" s="20">
        <v>2026.0</v>
      </c>
      <c r="B74" s="20">
        <v>6.0</v>
      </c>
      <c r="C74" s="20" t="s">
        <v>325</v>
      </c>
      <c r="D74" s="20" t="s">
        <v>308</v>
      </c>
      <c r="E74" s="20" t="s">
        <v>308</v>
      </c>
      <c r="F74" s="20" t="s">
        <v>322</v>
      </c>
      <c r="G74" s="20">
        <v>19.5</v>
      </c>
      <c r="H74" s="20"/>
      <c r="I74" s="20">
        <v>9.1</v>
      </c>
      <c r="J74" s="98">
        <v>177.52</v>
      </c>
    </row>
    <row r="75">
      <c r="A75" s="20">
        <v>2026.0</v>
      </c>
      <c r="B75" s="20">
        <v>4.0</v>
      </c>
      <c r="C75" s="20" t="s">
        <v>119</v>
      </c>
      <c r="D75" s="20" t="s">
        <v>120</v>
      </c>
      <c r="E75" s="20" t="s">
        <v>308</v>
      </c>
      <c r="F75" s="20" t="s">
        <v>322</v>
      </c>
      <c r="G75" s="20">
        <v>10.0</v>
      </c>
      <c r="H75" s="20"/>
      <c r="I75" s="20">
        <v>10.62</v>
      </c>
      <c r="J75" s="98">
        <v>106.21</v>
      </c>
    </row>
    <row r="76">
      <c r="A76" s="20">
        <v>2026.0</v>
      </c>
      <c r="B76" s="20">
        <v>5.0</v>
      </c>
      <c r="C76" s="20" t="s">
        <v>119</v>
      </c>
      <c r="D76" s="20" t="s">
        <v>120</v>
      </c>
      <c r="E76" s="20" t="s">
        <v>308</v>
      </c>
      <c r="F76" s="20" t="s">
        <v>322</v>
      </c>
      <c r="G76" s="20">
        <v>15.0</v>
      </c>
      <c r="H76" s="20"/>
      <c r="I76" s="20">
        <v>10.62</v>
      </c>
      <c r="J76" s="98">
        <v>159.31</v>
      </c>
    </row>
    <row r="77">
      <c r="A77" s="20">
        <v>2026.0</v>
      </c>
      <c r="B77" s="20">
        <v>6.0</v>
      </c>
      <c r="C77" s="20" t="s">
        <v>119</v>
      </c>
      <c r="D77" s="20" t="s">
        <v>120</v>
      </c>
      <c r="E77" s="20" t="s">
        <v>308</v>
      </c>
      <c r="F77" s="20" t="s">
        <v>322</v>
      </c>
      <c r="G77" s="20">
        <v>15.5</v>
      </c>
      <c r="H77" s="20"/>
      <c r="I77" s="20">
        <v>10.62</v>
      </c>
      <c r="J77" s="98">
        <v>164.62</v>
      </c>
    </row>
    <row r="78">
      <c r="A78" s="20">
        <v>2026.0</v>
      </c>
      <c r="B78" s="20">
        <v>5.0</v>
      </c>
      <c r="C78" s="20" t="s">
        <v>329</v>
      </c>
      <c r="D78" s="20" t="s">
        <v>330</v>
      </c>
      <c r="E78" s="20" t="s">
        <v>308</v>
      </c>
      <c r="F78" s="20" t="s">
        <v>322</v>
      </c>
      <c r="G78" s="20">
        <v>11.0</v>
      </c>
      <c r="H78" s="20"/>
      <c r="I78" s="20">
        <v>6.9</v>
      </c>
      <c r="J78" s="98">
        <v>75.86</v>
      </c>
    </row>
    <row r="79">
      <c r="A79" s="20">
        <v>2026.0</v>
      </c>
      <c r="B79" s="20">
        <v>6.0</v>
      </c>
      <c r="C79" s="20" t="s">
        <v>329</v>
      </c>
      <c r="D79" s="20" t="s">
        <v>330</v>
      </c>
      <c r="E79" s="20" t="s">
        <v>308</v>
      </c>
      <c r="F79" s="20" t="s">
        <v>322</v>
      </c>
      <c r="G79" s="20">
        <v>4.0</v>
      </c>
      <c r="H79" s="20"/>
      <c r="I79" s="20">
        <v>6.9</v>
      </c>
      <c r="J79" s="98">
        <v>27.59</v>
      </c>
    </row>
    <row r="80">
      <c r="A80" s="20">
        <v>2026.0</v>
      </c>
      <c r="B80" s="20">
        <v>6.0</v>
      </c>
      <c r="C80" s="20" t="s">
        <v>329</v>
      </c>
      <c r="D80" s="20" t="s">
        <v>330</v>
      </c>
      <c r="E80" s="20" t="s">
        <v>308</v>
      </c>
      <c r="F80" s="20" t="s">
        <v>322</v>
      </c>
      <c r="G80" s="20">
        <v>11.5</v>
      </c>
      <c r="H80" s="20"/>
      <c r="I80" s="20">
        <v>6.9</v>
      </c>
      <c r="J80" s="98">
        <v>79.31</v>
      </c>
    </row>
    <row r="81">
      <c r="A81" s="20">
        <v>2026.0</v>
      </c>
      <c r="B81" s="20">
        <v>4.0</v>
      </c>
      <c r="C81" s="20" t="s">
        <v>135</v>
      </c>
      <c r="D81" s="20" t="s">
        <v>22</v>
      </c>
      <c r="E81" s="20" t="s">
        <v>308</v>
      </c>
      <c r="F81" s="20" t="s">
        <v>322</v>
      </c>
      <c r="G81" s="20">
        <v>4.0</v>
      </c>
      <c r="H81" s="20"/>
      <c r="I81" s="20">
        <v>4.14</v>
      </c>
      <c r="J81" s="98">
        <v>16.55</v>
      </c>
    </row>
    <row r="82">
      <c r="A82" s="20">
        <v>2026.0</v>
      </c>
      <c r="B82" s="20">
        <v>4.0</v>
      </c>
      <c r="C82" s="20" t="s">
        <v>135</v>
      </c>
      <c r="D82" s="20" t="s">
        <v>22</v>
      </c>
      <c r="E82" s="20" t="s">
        <v>308</v>
      </c>
      <c r="F82" s="20" t="s">
        <v>322</v>
      </c>
      <c r="G82" s="20">
        <v>15.75</v>
      </c>
      <c r="H82" s="20"/>
      <c r="I82" s="20">
        <v>4.14</v>
      </c>
      <c r="J82" s="98">
        <v>65.17</v>
      </c>
    </row>
    <row r="83">
      <c r="A83" s="20">
        <v>2026.0</v>
      </c>
      <c r="B83" s="20">
        <v>5.0</v>
      </c>
      <c r="C83" s="20" t="s">
        <v>209</v>
      </c>
      <c r="D83" s="20" t="s">
        <v>22</v>
      </c>
      <c r="E83" s="20" t="s">
        <v>308</v>
      </c>
      <c r="F83" s="20" t="s">
        <v>322</v>
      </c>
      <c r="G83" s="20">
        <v>13.0</v>
      </c>
      <c r="H83" s="20"/>
      <c r="I83" s="20">
        <v>4.14</v>
      </c>
      <c r="J83" s="98">
        <v>53.79</v>
      </c>
    </row>
    <row r="84">
      <c r="A84" s="20">
        <v>2026.0</v>
      </c>
      <c r="B84" s="20">
        <v>6.0</v>
      </c>
      <c r="C84" s="20" t="s">
        <v>209</v>
      </c>
      <c r="D84" s="20" t="s">
        <v>22</v>
      </c>
      <c r="E84" s="20" t="s">
        <v>308</v>
      </c>
      <c r="F84" s="20" t="s">
        <v>322</v>
      </c>
      <c r="G84" s="20">
        <v>22.0</v>
      </c>
      <c r="H84" s="20"/>
      <c r="I84" s="20">
        <v>4.14</v>
      </c>
      <c r="J84" s="98">
        <v>91.03</v>
      </c>
    </row>
    <row r="85">
      <c r="A85" s="20">
        <v>2026.0</v>
      </c>
      <c r="B85" s="20">
        <v>4.0</v>
      </c>
      <c r="C85" s="20" t="s">
        <v>333</v>
      </c>
      <c r="D85" s="20" t="s">
        <v>332</v>
      </c>
      <c r="E85" s="20" t="s">
        <v>308</v>
      </c>
      <c r="F85" s="20" t="s">
        <v>322</v>
      </c>
      <c r="G85" s="20">
        <v>2.0</v>
      </c>
      <c r="H85" s="20"/>
      <c r="I85" s="20">
        <v>10.48</v>
      </c>
      <c r="J85" s="98">
        <v>20.97</v>
      </c>
    </row>
    <row r="86">
      <c r="A86" s="20">
        <v>2026.0</v>
      </c>
      <c r="B86" s="20">
        <v>4.0</v>
      </c>
      <c r="C86" s="20" t="s">
        <v>331</v>
      </c>
      <c r="D86" s="20" t="s">
        <v>332</v>
      </c>
      <c r="E86" s="20" t="s">
        <v>308</v>
      </c>
      <c r="F86" s="20" t="s">
        <v>322</v>
      </c>
      <c r="G86" s="20">
        <v>16.0</v>
      </c>
      <c r="H86" s="20"/>
      <c r="I86" s="20">
        <v>10.48</v>
      </c>
      <c r="J86" s="98">
        <v>167.72</v>
      </c>
    </row>
    <row r="87">
      <c r="A87" s="20">
        <v>2026.0</v>
      </c>
      <c r="B87" s="20">
        <v>5.0</v>
      </c>
      <c r="C87" s="20" t="s">
        <v>333</v>
      </c>
      <c r="D87" s="20" t="s">
        <v>332</v>
      </c>
      <c r="E87" s="20" t="s">
        <v>308</v>
      </c>
      <c r="F87" s="20" t="s">
        <v>322</v>
      </c>
      <c r="G87" s="20">
        <v>7.0</v>
      </c>
      <c r="H87" s="20"/>
      <c r="I87" s="20">
        <v>10.48</v>
      </c>
      <c r="J87" s="98">
        <v>73.38</v>
      </c>
    </row>
    <row r="88">
      <c r="A88" s="20">
        <v>2026.0</v>
      </c>
      <c r="B88" s="20">
        <v>5.0</v>
      </c>
      <c r="C88" s="20" t="s">
        <v>331</v>
      </c>
      <c r="D88" s="20" t="s">
        <v>332</v>
      </c>
      <c r="E88" s="20" t="s">
        <v>308</v>
      </c>
      <c r="F88" s="20" t="s">
        <v>322</v>
      </c>
      <c r="G88" s="20">
        <v>8.0</v>
      </c>
      <c r="H88" s="20"/>
      <c r="I88" s="20">
        <v>10.48</v>
      </c>
      <c r="J88" s="98">
        <v>83.86</v>
      </c>
    </row>
    <row r="89">
      <c r="A89" s="20">
        <v>2026.0</v>
      </c>
      <c r="B89" s="20">
        <v>6.0</v>
      </c>
      <c r="C89" s="20" t="s">
        <v>333</v>
      </c>
      <c r="D89" s="20" t="s">
        <v>332</v>
      </c>
      <c r="E89" s="20" t="s">
        <v>308</v>
      </c>
      <c r="F89" s="20" t="s">
        <v>322</v>
      </c>
      <c r="G89" s="20">
        <v>9.0</v>
      </c>
      <c r="H89" s="20"/>
      <c r="I89" s="20">
        <v>10.48</v>
      </c>
      <c r="J89" s="98">
        <v>94.34</v>
      </c>
    </row>
    <row r="90">
      <c r="A90" s="20">
        <v>2026.0</v>
      </c>
      <c r="B90" s="20">
        <v>6.0</v>
      </c>
      <c r="C90" s="20" t="s">
        <v>331</v>
      </c>
      <c r="D90" s="20" t="s">
        <v>332</v>
      </c>
      <c r="E90" s="20" t="s">
        <v>308</v>
      </c>
      <c r="F90" s="20" t="s">
        <v>322</v>
      </c>
      <c r="G90" s="20">
        <v>11.0</v>
      </c>
      <c r="H90" s="20"/>
      <c r="I90" s="20">
        <v>10.48</v>
      </c>
      <c r="J90" s="98">
        <v>115.31</v>
      </c>
    </row>
    <row r="91">
      <c r="A91" s="20">
        <v>2026.0</v>
      </c>
      <c r="B91" s="20">
        <v>4.0</v>
      </c>
      <c r="C91" s="20" t="s">
        <v>84</v>
      </c>
      <c r="D91" s="20" t="s">
        <v>85</v>
      </c>
      <c r="E91" s="20" t="s">
        <v>312</v>
      </c>
      <c r="F91" s="20" t="s">
        <v>322</v>
      </c>
      <c r="G91" s="20">
        <v>20.0</v>
      </c>
      <c r="H91" s="20"/>
      <c r="I91" s="20">
        <v>4.55</v>
      </c>
      <c r="J91" s="98">
        <v>91.03</v>
      </c>
    </row>
    <row r="92">
      <c r="A92" s="20">
        <v>2026.0</v>
      </c>
      <c r="B92" s="20">
        <v>5.0</v>
      </c>
      <c r="C92" s="20" t="s">
        <v>84</v>
      </c>
      <c r="D92" s="20" t="s">
        <v>85</v>
      </c>
      <c r="E92" s="20" t="s">
        <v>312</v>
      </c>
      <c r="F92" s="20" t="s">
        <v>322</v>
      </c>
      <c r="G92" s="20">
        <v>16.5</v>
      </c>
      <c r="H92" s="20"/>
      <c r="I92" s="20">
        <v>4.55</v>
      </c>
      <c r="J92" s="98">
        <v>75.1</v>
      </c>
    </row>
    <row r="93">
      <c r="A93" s="20">
        <v>2026.0</v>
      </c>
      <c r="B93" s="20">
        <v>6.0</v>
      </c>
      <c r="C93" s="20" t="s">
        <v>84</v>
      </c>
      <c r="D93" s="20" t="s">
        <v>85</v>
      </c>
      <c r="E93" s="20" t="s">
        <v>312</v>
      </c>
      <c r="F93" s="20" t="s">
        <v>322</v>
      </c>
      <c r="G93" s="20">
        <v>3.5</v>
      </c>
      <c r="H93" s="20"/>
      <c r="I93" s="20">
        <v>4.55</v>
      </c>
      <c r="J93" s="98">
        <v>15.93</v>
      </c>
    </row>
    <row r="94">
      <c r="A94" s="20">
        <v>2026.0</v>
      </c>
      <c r="B94" s="20">
        <v>6.0</v>
      </c>
      <c r="C94" s="20" t="s">
        <v>84</v>
      </c>
      <c r="D94" s="20" t="s">
        <v>85</v>
      </c>
      <c r="E94" s="20" t="s">
        <v>312</v>
      </c>
      <c r="F94" s="20" t="s">
        <v>322</v>
      </c>
      <c r="G94" s="20">
        <v>18.5</v>
      </c>
      <c r="H94" s="20"/>
      <c r="I94" s="20">
        <v>4.55</v>
      </c>
      <c r="J94" s="98">
        <v>84.21</v>
      </c>
    </row>
    <row r="95">
      <c r="A95" s="20">
        <v>2026.0</v>
      </c>
      <c r="B95" s="20">
        <v>4.0</v>
      </c>
      <c r="C95" s="20" t="s">
        <v>62</v>
      </c>
      <c r="D95" s="20" t="s">
        <v>143</v>
      </c>
      <c r="E95" s="20" t="s">
        <v>126</v>
      </c>
      <c r="F95" s="20" t="s">
        <v>322</v>
      </c>
      <c r="G95" s="20">
        <v>19.0</v>
      </c>
      <c r="H95" s="20"/>
      <c r="I95" s="20">
        <v>0.83</v>
      </c>
      <c r="J95" s="98">
        <v>15.72</v>
      </c>
    </row>
    <row r="96">
      <c r="A96" s="20">
        <v>2026.0</v>
      </c>
      <c r="B96" s="20">
        <v>4.0</v>
      </c>
      <c r="C96" s="20" t="s">
        <v>62</v>
      </c>
      <c r="D96" s="20" t="s">
        <v>143</v>
      </c>
      <c r="E96" s="20" t="s">
        <v>143</v>
      </c>
      <c r="F96" s="20" t="s">
        <v>322</v>
      </c>
      <c r="G96" s="20">
        <v>19.0</v>
      </c>
      <c r="H96" s="20"/>
      <c r="I96" s="20">
        <v>0.55</v>
      </c>
      <c r="J96" s="98">
        <v>10.48</v>
      </c>
    </row>
    <row r="97">
      <c r="A97" s="20">
        <v>2026.0</v>
      </c>
      <c r="B97" s="20">
        <v>5.0</v>
      </c>
      <c r="C97" s="20" t="s">
        <v>62</v>
      </c>
      <c r="D97" s="20" t="s">
        <v>143</v>
      </c>
      <c r="E97" s="20" t="s">
        <v>126</v>
      </c>
      <c r="F97" s="20" t="s">
        <v>322</v>
      </c>
      <c r="G97" s="20">
        <v>14.5</v>
      </c>
      <c r="H97" s="20"/>
      <c r="I97" s="20">
        <v>0.83</v>
      </c>
      <c r="J97" s="98">
        <v>12.0</v>
      </c>
    </row>
    <row r="98">
      <c r="A98" s="20">
        <v>2026.0</v>
      </c>
      <c r="B98" s="20">
        <v>5.0</v>
      </c>
      <c r="C98" s="20" t="s">
        <v>62</v>
      </c>
      <c r="D98" s="20" t="s">
        <v>143</v>
      </c>
      <c r="E98" s="20" t="s">
        <v>143</v>
      </c>
      <c r="F98" s="20" t="s">
        <v>322</v>
      </c>
      <c r="G98" s="20">
        <v>14.5</v>
      </c>
      <c r="H98" s="20"/>
      <c r="I98" s="20">
        <v>0.55</v>
      </c>
      <c r="J98" s="98">
        <v>8.0</v>
      </c>
    </row>
    <row r="99">
      <c r="A99" s="20">
        <v>2026.0</v>
      </c>
      <c r="B99" s="20">
        <v>6.0</v>
      </c>
      <c r="C99" s="20" t="s">
        <v>62</v>
      </c>
      <c r="D99" s="20" t="s">
        <v>143</v>
      </c>
      <c r="E99" s="20" t="s">
        <v>126</v>
      </c>
      <c r="F99" s="20" t="s">
        <v>322</v>
      </c>
      <c r="G99" s="20">
        <v>3.5</v>
      </c>
      <c r="H99" s="20"/>
      <c r="I99" s="20">
        <v>0.83</v>
      </c>
      <c r="J99" s="98">
        <v>2.9</v>
      </c>
    </row>
    <row r="100">
      <c r="A100" s="20">
        <v>2026.0</v>
      </c>
      <c r="B100" s="20">
        <v>6.0</v>
      </c>
      <c r="C100" s="20" t="s">
        <v>62</v>
      </c>
      <c r="D100" s="20" t="s">
        <v>143</v>
      </c>
      <c r="E100" s="20" t="s">
        <v>126</v>
      </c>
      <c r="F100" s="20" t="s">
        <v>322</v>
      </c>
      <c r="G100" s="20">
        <v>7.5</v>
      </c>
      <c r="H100" s="20"/>
      <c r="I100" s="20">
        <v>0.83</v>
      </c>
      <c r="J100" s="98">
        <v>6.21</v>
      </c>
    </row>
    <row r="101">
      <c r="A101" s="20">
        <v>2026.0</v>
      </c>
      <c r="B101" s="20">
        <v>6.0</v>
      </c>
      <c r="C101" s="20" t="s">
        <v>62</v>
      </c>
      <c r="D101" s="20" t="s">
        <v>143</v>
      </c>
      <c r="E101" s="20" t="s">
        <v>143</v>
      </c>
      <c r="F101" s="20" t="s">
        <v>322</v>
      </c>
      <c r="G101" s="20">
        <v>3.5</v>
      </c>
      <c r="H101" s="20"/>
      <c r="I101" s="20">
        <v>0.55</v>
      </c>
      <c r="J101" s="98">
        <v>1.93</v>
      </c>
    </row>
    <row r="102">
      <c r="A102" s="20">
        <v>2026.0</v>
      </c>
      <c r="B102" s="20">
        <v>6.0</v>
      </c>
      <c r="C102" s="20" t="s">
        <v>62</v>
      </c>
      <c r="D102" s="20" t="s">
        <v>143</v>
      </c>
      <c r="E102" s="20" t="s">
        <v>143</v>
      </c>
      <c r="F102" s="20" t="s">
        <v>322</v>
      </c>
      <c r="G102" s="20">
        <v>7.5</v>
      </c>
      <c r="H102" s="20"/>
      <c r="I102" s="20">
        <v>0.55</v>
      </c>
      <c r="J102" s="98">
        <v>4.14</v>
      </c>
    </row>
    <row r="103">
      <c r="A103" s="20">
        <v>2026.0</v>
      </c>
      <c r="B103" s="20">
        <v>4.0</v>
      </c>
      <c r="C103" s="20" t="s">
        <v>149</v>
      </c>
      <c r="D103" s="20" t="s">
        <v>150</v>
      </c>
      <c r="E103" s="20" t="s">
        <v>150</v>
      </c>
      <c r="F103" s="20" t="s">
        <v>322</v>
      </c>
      <c r="G103" s="20">
        <v>19.5</v>
      </c>
      <c r="H103" s="20"/>
      <c r="I103" s="20">
        <v>6.41</v>
      </c>
      <c r="J103" s="98">
        <v>125.07</v>
      </c>
    </row>
    <row r="104">
      <c r="A104" s="20">
        <v>2026.0</v>
      </c>
      <c r="B104" s="20">
        <v>5.0</v>
      </c>
      <c r="C104" s="20" t="s">
        <v>149</v>
      </c>
      <c r="D104" s="20" t="s">
        <v>150</v>
      </c>
      <c r="E104" s="20" t="s">
        <v>150</v>
      </c>
      <c r="F104" s="20" t="s">
        <v>322</v>
      </c>
      <c r="G104" s="20">
        <v>16.11</v>
      </c>
      <c r="H104" s="20"/>
      <c r="I104" s="20">
        <v>6.41</v>
      </c>
      <c r="J104" s="98">
        <v>103.33</v>
      </c>
    </row>
    <row r="105">
      <c r="A105" s="20">
        <v>2026.0</v>
      </c>
      <c r="B105" s="20">
        <v>4.0</v>
      </c>
      <c r="C105" s="20" t="s">
        <v>151</v>
      </c>
      <c r="D105" s="20" t="s">
        <v>152</v>
      </c>
      <c r="E105" s="20" t="s">
        <v>152</v>
      </c>
      <c r="F105" s="20" t="s">
        <v>322</v>
      </c>
      <c r="G105" s="20">
        <v>21.0</v>
      </c>
      <c r="H105" s="20"/>
      <c r="I105" s="20">
        <v>12.55</v>
      </c>
      <c r="J105" s="98">
        <v>263.59</v>
      </c>
    </row>
    <row r="106">
      <c r="A106" s="20">
        <v>2026.0</v>
      </c>
      <c r="B106" s="20">
        <v>5.0</v>
      </c>
      <c r="C106" s="20" t="s">
        <v>151</v>
      </c>
      <c r="D106" s="20" t="s">
        <v>152</v>
      </c>
      <c r="E106" s="20" t="s">
        <v>152</v>
      </c>
      <c r="F106" s="20" t="s">
        <v>322</v>
      </c>
      <c r="G106" s="20">
        <v>11.0</v>
      </c>
      <c r="H106" s="20"/>
      <c r="I106" s="20">
        <v>12.55</v>
      </c>
      <c r="J106" s="98">
        <v>138.07</v>
      </c>
    </row>
    <row r="107">
      <c r="A107" s="20">
        <v>2026.0</v>
      </c>
      <c r="B107" s="20">
        <v>6.0</v>
      </c>
      <c r="C107" s="20" t="s">
        <v>151</v>
      </c>
      <c r="D107" s="20" t="s">
        <v>152</v>
      </c>
      <c r="E107" s="20" t="s">
        <v>152</v>
      </c>
      <c r="F107" s="20" t="s">
        <v>322</v>
      </c>
      <c r="G107" s="20">
        <v>18.0</v>
      </c>
      <c r="H107" s="20"/>
      <c r="I107" s="20">
        <v>12.55</v>
      </c>
      <c r="J107" s="98">
        <v>225.93</v>
      </c>
    </row>
    <row r="108">
      <c r="A108" s="20">
        <v>2026.0</v>
      </c>
      <c r="B108" s="20">
        <v>4.0</v>
      </c>
      <c r="C108" s="20" t="s">
        <v>334</v>
      </c>
      <c r="D108" s="20" t="s">
        <v>27</v>
      </c>
      <c r="E108" s="20" t="s">
        <v>112</v>
      </c>
      <c r="F108" s="20" t="s">
        <v>322</v>
      </c>
      <c r="G108" s="20">
        <v>21.0</v>
      </c>
      <c r="H108" s="20"/>
      <c r="I108" s="20">
        <v>12.55</v>
      </c>
      <c r="J108" s="98">
        <v>263.59</v>
      </c>
    </row>
    <row r="109">
      <c r="A109" s="20">
        <v>2026.0</v>
      </c>
      <c r="B109" s="20">
        <v>5.0</v>
      </c>
      <c r="C109" s="20" t="s">
        <v>334</v>
      </c>
      <c r="D109" s="20" t="s">
        <v>27</v>
      </c>
      <c r="E109" s="20" t="s">
        <v>112</v>
      </c>
      <c r="F109" s="20" t="s">
        <v>322</v>
      </c>
      <c r="G109" s="20">
        <v>16.0</v>
      </c>
      <c r="H109" s="20"/>
      <c r="I109" s="20">
        <v>12.55</v>
      </c>
      <c r="J109" s="98">
        <v>200.83</v>
      </c>
    </row>
    <row r="110">
      <c r="A110" s="20">
        <v>2026.0</v>
      </c>
      <c r="B110" s="20">
        <v>6.0</v>
      </c>
      <c r="C110" s="20" t="s">
        <v>334</v>
      </c>
      <c r="D110" s="20" t="s">
        <v>27</v>
      </c>
      <c r="E110" s="20" t="s">
        <v>112</v>
      </c>
      <c r="F110" s="20" t="s">
        <v>322</v>
      </c>
      <c r="G110" s="20">
        <v>22.0</v>
      </c>
      <c r="H110" s="20"/>
      <c r="I110" s="20">
        <v>12.55</v>
      </c>
      <c r="J110" s="98">
        <v>276.14</v>
      </c>
    </row>
    <row r="111">
      <c r="A111" s="20">
        <v>2026.0</v>
      </c>
      <c r="B111" s="20">
        <v>4.0</v>
      </c>
      <c r="C111" s="20" t="s">
        <v>165</v>
      </c>
      <c r="D111" s="20" t="s">
        <v>166</v>
      </c>
      <c r="E111" s="20" t="s">
        <v>81</v>
      </c>
      <c r="F111" s="20" t="s">
        <v>322</v>
      </c>
      <c r="G111" s="20">
        <v>3.0</v>
      </c>
      <c r="H111" s="20"/>
      <c r="I111" s="20">
        <v>5.93</v>
      </c>
      <c r="J111" s="98">
        <v>17.79</v>
      </c>
    </row>
    <row r="112">
      <c r="A112" s="20">
        <v>2026.0</v>
      </c>
      <c r="B112" s="20">
        <v>4.0</v>
      </c>
      <c r="C112" s="20" t="s">
        <v>165</v>
      </c>
      <c r="D112" s="20" t="s">
        <v>166</v>
      </c>
      <c r="E112" s="20" t="s">
        <v>81</v>
      </c>
      <c r="F112" s="20" t="s">
        <v>322</v>
      </c>
      <c r="G112" s="20">
        <v>21.5</v>
      </c>
      <c r="H112" s="20"/>
      <c r="I112" s="20">
        <v>5.93</v>
      </c>
      <c r="J112" s="98">
        <v>127.52</v>
      </c>
    </row>
    <row r="113">
      <c r="A113" s="20">
        <v>2026.0</v>
      </c>
      <c r="B113" s="20">
        <v>4.0</v>
      </c>
      <c r="C113" s="20" t="s">
        <v>80</v>
      </c>
      <c r="D113" s="20" t="s">
        <v>81</v>
      </c>
      <c r="E113" s="20" t="s">
        <v>81</v>
      </c>
      <c r="F113" s="20" t="s">
        <v>322</v>
      </c>
      <c r="G113" s="20">
        <v>19.5</v>
      </c>
      <c r="H113" s="20"/>
      <c r="I113" s="20">
        <v>11.38</v>
      </c>
      <c r="J113" s="98">
        <v>221.9</v>
      </c>
    </row>
    <row r="114">
      <c r="A114" s="20">
        <v>2026.0</v>
      </c>
      <c r="B114" s="20">
        <v>5.0</v>
      </c>
      <c r="C114" s="20" t="s">
        <v>80</v>
      </c>
      <c r="D114" s="20" t="s">
        <v>81</v>
      </c>
      <c r="E114" s="20" t="s">
        <v>81</v>
      </c>
      <c r="F114" s="20" t="s">
        <v>322</v>
      </c>
      <c r="G114" s="20">
        <v>17.5</v>
      </c>
      <c r="H114" s="20"/>
      <c r="I114" s="20">
        <v>11.38</v>
      </c>
      <c r="J114" s="98">
        <v>199.14</v>
      </c>
    </row>
    <row r="115">
      <c r="A115" s="20">
        <v>2026.0</v>
      </c>
      <c r="B115" s="20">
        <v>6.0</v>
      </c>
      <c r="C115" s="20" t="s">
        <v>80</v>
      </c>
      <c r="D115" s="20" t="s">
        <v>81</v>
      </c>
      <c r="E115" s="20" t="s">
        <v>81</v>
      </c>
      <c r="F115" s="20" t="s">
        <v>322</v>
      </c>
      <c r="G115" s="20">
        <v>9.5</v>
      </c>
      <c r="H115" s="20"/>
      <c r="I115" s="20">
        <v>11.38</v>
      </c>
      <c r="J115" s="98">
        <v>108.1</v>
      </c>
    </row>
    <row r="116">
      <c r="A116" s="20">
        <v>2026.0</v>
      </c>
      <c r="B116" s="20">
        <v>6.0</v>
      </c>
      <c r="C116" s="20" t="s">
        <v>80</v>
      </c>
      <c r="D116" s="20" t="s">
        <v>81</v>
      </c>
      <c r="E116" s="20" t="s">
        <v>81</v>
      </c>
      <c r="F116" s="20" t="s">
        <v>322</v>
      </c>
      <c r="G116" s="20">
        <v>12.0</v>
      </c>
      <c r="H116" s="20"/>
      <c r="I116" s="20">
        <v>11.38</v>
      </c>
      <c r="J116" s="98">
        <v>136.55</v>
      </c>
    </row>
    <row r="117">
      <c r="A117" s="20">
        <v>2026.0</v>
      </c>
      <c r="B117" s="20">
        <v>4.0</v>
      </c>
      <c r="C117" s="20" t="s">
        <v>169</v>
      </c>
      <c r="D117" s="20" t="s">
        <v>170</v>
      </c>
      <c r="E117" s="20" t="s">
        <v>112</v>
      </c>
      <c r="F117" s="20" t="s">
        <v>322</v>
      </c>
      <c r="G117" s="20">
        <v>20.0</v>
      </c>
      <c r="H117" s="20"/>
      <c r="I117" s="20">
        <v>2.14</v>
      </c>
      <c r="J117" s="98">
        <v>42.76</v>
      </c>
    </row>
    <row r="118">
      <c r="A118" s="20">
        <v>2026.0</v>
      </c>
      <c r="B118" s="20">
        <v>5.0</v>
      </c>
      <c r="C118" s="20" t="s">
        <v>169</v>
      </c>
      <c r="D118" s="20" t="s">
        <v>170</v>
      </c>
      <c r="E118" s="20" t="s">
        <v>112</v>
      </c>
      <c r="F118" s="20" t="s">
        <v>322</v>
      </c>
      <c r="G118" s="20">
        <v>13.0</v>
      </c>
      <c r="H118" s="20"/>
      <c r="I118" s="20">
        <v>2.14</v>
      </c>
      <c r="J118" s="98">
        <v>27.79</v>
      </c>
    </row>
    <row r="119">
      <c r="A119" s="20">
        <v>2026.0</v>
      </c>
      <c r="B119" s="20">
        <v>6.0</v>
      </c>
      <c r="C119" s="20" t="s">
        <v>169</v>
      </c>
      <c r="D119" s="20" t="s">
        <v>170</v>
      </c>
      <c r="E119" s="20" t="s">
        <v>112</v>
      </c>
      <c r="F119" s="20" t="s">
        <v>322</v>
      </c>
      <c r="G119" s="20">
        <v>20.0</v>
      </c>
      <c r="H119" s="20"/>
      <c r="I119" s="20">
        <v>2.14</v>
      </c>
      <c r="J119" s="98">
        <v>42.76</v>
      </c>
    </row>
    <row r="120">
      <c r="A120" s="20">
        <v>2026.0</v>
      </c>
      <c r="B120" s="20">
        <v>4.0</v>
      </c>
      <c r="C120" s="20" t="s">
        <v>335</v>
      </c>
      <c r="D120" s="20" t="s">
        <v>336</v>
      </c>
      <c r="E120" s="20" t="s">
        <v>308</v>
      </c>
      <c r="F120" s="20" t="s">
        <v>322</v>
      </c>
      <c r="G120" s="20">
        <v>2.315</v>
      </c>
      <c r="H120" s="20"/>
      <c r="I120" s="20">
        <v>12.0</v>
      </c>
      <c r="J120" s="98">
        <v>27.78</v>
      </c>
    </row>
    <row r="121">
      <c r="A121" s="20">
        <v>2026.0</v>
      </c>
      <c r="B121" s="20">
        <v>5.0</v>
      </c>
      <c r="C121" s="20" t="s">
        <v>335</v>
      </c>
      <c r="D121" s="20" t="s">
        <v>336</v>
      </c>
      <c r="E121" s="20" t="s">
        <v>308</v>
      </c>
      <c r="F121" s="20" t="s">
        <v>322</v>
      </c>
      <c r="G121" s="20">
        <v>2.066</v>
      </c>
      <c r="H121" s="20"/>
      <c r="I121" s="20">
        <v>12.0</v>
      </c>
      <c r="J121" s="98">
        <v>24.79</v>
      </c>
    </row>
    <row r="122">
      <c r="A122" s="20">
        <v>2026.0</v>
      </c>
      <c r="B122" s="20">
        <v>6.0</v>
      </c>
      <c r="C122" s="20" t="s">
        <v>335</v>
      </c>
      <c r="D122" s="20" t="s">
        <v>336</v>
      </c>
      <c r="E122" s="20" t="s">
        <v>308</v>
      </c>
      <c r="F122" s="20" t="s">
        <v>322</v>
      </c>
      <c r="G122" s="20">
        <v>1.566</v>
      </c>
      <c r="H122" s="20"/>
      <c r="I122" s="20">
        <v>12.0</v>
      </c>
      <c r="J122" s="98">
        <v>18.79</v>
      </c>
    </row>
    <row r="123">
      <c r="A123" s="20">
        <v>2026.0</v>
      </c>
      <c r="B123" s="20">
        <v>4.0</v>
      </c>
      <c r="C123" s="20" t="s">
        <v>173</v>
      </c>
      <c r="D123" s="20" t="s">
        <v>174</v>
      </c>
      <c r="E123" s="20" t="s">
        <v>174</v>
      </c>
      <c r="F123" s="20" t="s">
        <v>322</v>
      </c>
      <c r="G123" s="20">
        <v>15.5</v>
      </c>
      <c r="H123" s="20"/>
      <c r="I123" s="20">
        <v>24.69</v>
      </c>
      <c r="J123" s="98">
        <v>382.69</v>
      </c>
    </row>
    <row r="124">
      <c r="A124" s="20">
        <v>2026.0</v>
      </c>
      <c r="B124" s="20">
        <v>5.0</v>
      </c>
      <c r="C124" s="20" t="s">
        <v>173</v>
      </c>
      <c r="D124" s="20" t="s">
        <v>174</v>
      </c>
      <c r="E124" s="20" t="s">
        <v>174</v>
      </c>
      <c r="F124" s="20" t="s">
        <v>322</v>
      </c>
      <c r="G124" s="20">
        <v>16.0</v>
      </c>
      <c r="H124" s="20"/>
      <c r="I124" s="20">
        <v>24.69</v>
      </c>
      <c r="J124" s="98">
        <v>395.03</v>
      </c>
    </row>
    <row r="125">
      <c r="A125" s="20">
        <v>2026.0</v>
      </c>
      <c r="B125" s="20">
        <v>6.0</v>
      </c>
      <c r="C125" s="20" t="s">
        <v>173</v>
      </c>
      <c r="D125" s="20" t="s">
        <v>174</v>
      </c>
      <c r="E125" s="20" t="s">
        <v>174</v>
      </c>
      <c r="F125" s="20" t="s">
        <v>322</v>
      </c>
      <c r="G125" s="20">
        <v>20.0</v>
      </c>
      <c r="H125" s="20"/>
      <c r="I125" s="20">
        <v>24.69</v>
      </c>
      <c r="J125" s="98">
        <v>493.79</v>
      </c>
    </row>
    <row r="126">
      <c r="A126" s="20">
        <v>2026.0</v>
      </c>
      <c r="B126" s="20">
        <v>4.0</v>
      </c>
      <c r="C126" s="20" t="s">
        <v>175</v>
      </c>
      <c r="D126" s="20" t="s">
        <v>176</v>
      </c>
      <c r="E126" s="20" t="s">
        <v>112</v>
      </c>
      <c r="F126" s="20" t="s">
        <v>322</v>
      </c>
      <c r="G126" s="20">
        <v>17.0</v>
      </c>
      <c r="H126" s="20"/>
      <c r="I126" s="20">
        <v>1.59</v>
      </c>
      <c r="J126" s="98">
        <v>26.97</v>
      </c>
    </row>
    <row r="127">
      <c r="A127" s="20">
        <v>2026.0</v>
      </c>
      <c r="B127" s="20">
        <v>5.0</v>
      </c>
      <c r="C127" s="20" t="s">
        <v>175</v>
      </c>
      <c r="D127" s="20" t="s">
        <v>176</v>
      </c>
      <c r="E127" s="20" t="s">
        <v>112</v>
      </c>
      <c r="F127" s="20" t="s">
        <v>322</v>
      </c>
      <c r="G127" s="20">
        <v>15.0</v>
      </c>
      <c r="H127" s="20"/>
      <c r="I127" s="20">
        <v>1.59</v>
      </c>
      <c r="J127" s="98">
        <v>23.79</v>
      </c>
    </row>
    <row r="128">
      <c r="A128" s="20">
        <v>2026.0</v>
      </c>
      <c r="B128" s="20">
        <v>6.0</v>
      </c>
      <c r="C128" s="20" t="s">
        <v>175</v>
      </c>
      <c r="D128" s="20" t="s">
        <v>176</v>
      </c>
      <c r="E128" s="20" t="s">
        <v>112</v>
      </c>
      <c r="F128" s="20" t="s">
        <v>322</v>
      </c>
      <c r="G128" s="20">
        <v>15.0</v>
      </c>
      <c r="H128" s="20"/>
      <c r="I128" s="20">
        <v>1.59</v>
      </c>
      <c r="J128" s="98">
        <v>24.0</v>
      </c>
    </row>
    <row r="129">
      <c r="A129" s="20">
        <v>2026.0</v>
      </c>
      <c r="B129" s="20">
        <v>4.0</v>
      </c>
      <c r="C129" s="20" t="s">
        <v>177</v>
      </c>
      <c r="D129" s="20" t="s">
        <v>178</v>
      </c>
      <c r="E129" s="20" t="s">
        <v>126</v>
      </c>
      <c r="F129" s="20" t="s">
        <v>322</v>
      </c>
      <c r="G129" s="20">
        <v>6.0</v>
      </c>
      <c r="H129" s="20"/>
      <c r="I129" s="20">
        <v>14.34</v>
      </c>
      <c r="J129" s="98">
        <v>86.07</v>
      </c>
    </row>
    <row r="130">
      <c r="A130" s="20">
        <v>2026.0</v>
      </c>
      <c r="B130" s="20">
        <v>5.0</v>
      </c>
      <c r="C130" s="20" t="s">
        <v>177</v>
      </c>
      <c r="D130" s="20" t="s">
        <v>178</v>
      </c>
      <c r="E130" s="20" t="s">
        <v>126</v>
      </c>
      <c r="F130" s="20" t="s">
        <v>322</v>
      </c>
      <c r="G130" s="20">
        <v>13.0</v>
      </c>
      <c r="H130" s="20"/>
      <c r="I130" s="20">
        <v>14.34</v>
      </c>
      <c r="J130" s="98">
        <v>186.48</v>
      </c>
    </row>
    <row r="131">
      <c r="A131" s="20">
        <v>2026.0</v>
      </c>
      <c r="B131" s="20">
        <v>6.0</v>
      </c>
      <c r="C131" s="20" t="s">
        <v>177</v>
      </c>
      <c r="D131" s="20" t="s">
        <v>178</v>
      </c>
      <c r="E131" s="20" t="s">
        <v>126</v>
      </c>
      <c r="F131" s="20" t="s">
        <v>322</v>
      </c>
      <c r="G131" s="20">
        <v>20.0</v>
      </c>
      <c r="H131" s="20"/>
      <c r="I131" s="20">
        <v>14.34</v>
      </c>
      <c r="J131" s="98">
        <v>286.9</v>
      </c>
    </row>
    <row r="132">
      <c r="A132" s="20">
        <v>2026.0</v>
      </c>
      <c r="B132" s="20">
        <v>4.0</v>
      </c>
      <c r="C132" s="20" t="s">
        <v>194</v>
      </c>
      <c r="D132" s="20" t="s">
        <v>195</v>
      </c>
      <c r="E132" s="20" t="s">
        <v>195</v>
      </c>
      <c r="F132" s="20" t="s">
        <v>322</v>
      </c>
      <c r="G132" s="20">
        <v>12.0</v>
      </c>
      <c r="H132" s="20"/>
      <c r="I132" s="20">
        <v>10.9</v>
      </c>
      <c r="J132" s="98">
        <v>130.76</v>
      </c>
    </row>
    <row r="133">
      <c r="A133" s="20">
        <v>2026.0</v>
      </c>
      <c r="B133" s="20">
        <v>5.0</v>
      </c>
      <c r="C133" s="20" t="s">
        <v>194</v>
      </c>
      <c r="D133" s="20" t="s">
        <v>195</v>
      </c>
      <c r="E133" s="20" t="s">
        <v>195</v>
      </c>
      <c r="F133" s="20" t="s">
        <v>322</v>
      </c>
      <c r="G133" s="20">
        <v>6.0</v>
      </c>
      <c r="H133" s="20"/>
      <c r="I133" s="20">
        <v>10.9</v>
      </c>
      <c r="J133" s="98">
        <v>65.38</v>
      </c>
    </row>
    <row r="134">
      <c r="A134" s="20">
        <v>2026.0</v>
      </c>
      <c r="B134" s="20">
        <v>6.0</v>
      </c>
      <c r="C134" s="20" t="s">
        <v>194</v>
      </c>
      <c r="D134" s="20" t="s">
        <v>195</v>
      </c>
      <c r="E134" s="20" t="s">
        <v>195</v>
      </c>
      <c r="F134" s="20" t="s">
        <v>322</v>
      </c>
      <c r="G134" s="20">
        <v>14.0</v>
      </c>
      <c r="H134" s="20"/>
      <c r="I134" s="20">
        <v>10.9</v>
      </c>
      <c r="J134" s="98">
        <v>152.55</v>
      </c>
    </row>
    <row r="135">
      <c r="A135" s="20">
        <v>2026.0</v>
      </c>
      <c r="B135" s="20">
        <v>4.0</v>
      </c>
      <c r="C135" s="20" t="s">
        <v>282</v>
      </c>
      <c r="D135" s="20" t="s">
        <v>283</v>
      </c>
      <c r="E135" s="20" t="s">
        <v>126</v>
      </c>
      <c r="F135" s="20" t="s">
        <v>322</v>
      </c>
      <c r="G135" s="20">
        <v>14.0</v>
      </c>
      <c r="H135" s="20"/>
      <c r="I135" s="20">
        <v>1.24</v>
      </c>
      <c r="J135" s="98">
        <v>17.38</v>
      </c>
    </row>
    <row r="136">
      <c r="A136" s="20">
        <v>2026.0</v>
      </c>
      <c r="B136" s="20">
        <v>4.0</v>
      </c>
      <c r="C136" s="20" t="s">
        <v>282</v>
      </c>
      <c r="D136" s="20" t="s">
        <v>283</v>
      </c>
      <c r="E136" s="20" t="s">
        <v>143</v>
      </c>
      <c r="F136" s="20" t="s">
        <v>322</v>
      </c>
      <c r="G136" s="20">
        <v>14.0</v>
      </c>
      <c r="H136" s="20"/>
      <c r="I136" s="20">
        <v>0.83</v>
      </c>
      <c r="J136" s="98">
        <v>11.59</v>
      </c>
    </row>
    <row r="137">
      <c r="A137" s="20">
        <v>2026.0</v>
      </c>
      <c r="B137" s="20">
        <v>5.0</v>
      </c>
      <c r="C137" s="20" t="s">
        <v>282</v>
      </c>
      <c r="D137" s="20" t="s">
        <v>283</v>
      </c>
      <c r="E137" s="20" t="s">
        <v>126</v>
      </c>
      <c r="F137" s="20" t="s">
        <v>322</v>
      </c>
      <c r="G137" s="20">
        <v>18.0</v>
      </c>
      <c r="H137" s="20"/>
      <c r="I137" s="20">
        <v>1.24</v>
      </c>
      <c r="J137" s="98">
        <v>22.34</v>
      </c>
    </row>
    <row r="138">
      <c r="A138" s="20">
        <v>2026.0</v>
      </c>
      <c r="B138" s="20">
        <v>5.0</v>
      </c>
      <c r="C138" s="20" t="s">
        <v>282</v>
      </c>
      <c r="D138" s="20" t="s">
        <v>283</v>
      </c>
      <c r="E138" s="20" t="s">
        <v>143</v>
      </c>
      <c r="F138" s="20" t="s">
        <v>322</v>
      </c>
      <c r="G138" s="20">
        <v>18.0</v>
      </c>
      <c r="H138" s="20"/>
      <c r="I138" s="20">
        <v>0.83</v>
      </c>
      <c r="J138" s="98">
        <v>14.9</v>
      </c>
    </row>
    <row r="139">
      <c r="A139" s="20">
        <v>2026.0</v>
      </c>
      <c r="B139" s="20">
        <v>6.0</v>
      </c>
      <c r="C139" s="20" t="s">
        <v>282</v>
      </c>
      <c r="D139" s="20" t="s">
        <v>283</v>
      </c>
      <c r="E139" s="20" t="s">
        <v>126</v>
      </c>
      <c r="F139" s="20" t="s">
        <v>322</v>
      </c>
      <c r="G139" s="20">
        <v>20.0</v>
      </c>
      <c r="H139" s="20"/>
      <c r="I139" s="20">
        <v>1.24</v>
      </c>
      <c r="J139" s="98">
        <v>24.83</v>
      </c>
    </row>
    <row r="140">
      <c r="A140" s="20">
        <v>2026.0</v>
      </c>
      <c r="B140" s="20">
        <v>6.0</v>
      </c>
      <c r="C140" s="20" t="s">
        <v>282</v>
      </c>
      <c r="D140" s="20" t="s">
        <v>283</v>
      </c>
      <c r="E140" s="20" t="s">
        <v>143</v>
      </c>
      <c r="F140" s="20" t="s">
        <v>322</v>
      </c>
      <c r="G140" s="20">
        <v>20.0</v>
      </c>
      <c r="H140" s="20"/>
      <c r="I140" s="20">
        <v>0.83</v>
      </c>
      <c r="J140" s="98">
        <v>16.55</v>
      </c>
    </row>
    <row r="141">
      <c r="A141" s="20">
        <v>2026.0</v>
      </c>
      <c r="B141" s="20">
        <v>4.0</v>
      </c>
      <c r="C141" s="20" t="s">
        <v>69</v>
      </c>
      <c r="D141" s="20" t="s">
        <v>70</v>
      </c>
      <c r="E141" s="20" t="s">
        <v>312</v>
      </c>
      <c r="F141" s="20" t="s">
        <v>322</v>
      </c>
      <c r="G141" s="20">
        <v>19.0</v>
      </c>
      <c r="H141" s="20"/>
      <c r="I141" s="20">
        <v>3.59</v>
      </c>
      <c r="J141" s="98">
        <v>68.14</v>
      </c>
    </row>
    <row r="142">
      <c r="A142" s="20">
        <v>2026.0</v>
      </c>
      <c r="B142" s="20">
        <v>5.0</v>
      </c>
      <c r="C142" s="20" t="s">
        <v>69</v>
      </c>
      <c r="D142" s="20" t="s">
        <v>70</v>
      </c>
      <c r="E142" s="20" t="s">
        <v>312</v>
      </c>
      <c r="F142" s="20" t="s">
        <v>322</v>
      </c>
      <c r="G142" s="20">
        <v>12.5</v>
      </c>
      <c r="H142" s="20"/>
      <c r="I142" s="20">
        <v>3.59</v>
      </c>
      <c r="J142" s="98">
        <v>44.83</v>
      </c>
    </row>
    <row r="143">
      <c r="A143" s="20">
        <v>2026.0</v>
      </c>
      <c r="B143" s="20">
        <v>6.0</v>
      </c>
      <c r="C143" s="20" t="s">
        <v>69</v>
      </c>
      <c r="D143" s="20" t="s">
        <v>70</v>
      </c>
      <c r="E143" s="20" t="s">
        <v>312</v>
      </c>
      <c r="F143" s="20" t="s">
        <v>322</v>
      </c>
      <c r="G143" s="20">
        <v>2.5</v>
      </c>
      <c r="H143" s="20"/>
      <c r="I143" s="20">
        <v>3.59</v>
      </c>
      <c r="J143" s="98">
        <v>8.97</v>
      </c>
    </row>
    <row r="144">
      <c r="A144" s="20">
        <v>2026.0</v>
      </c>
      <c r="B144" s="20">
        <v>6.0</v>
      </c>
      <c r="C144" s="20" t="s">
        <v>69</v>
      </c>
      <c r="D144" s="20" t="s">
        <v>70</v>
      </c>
      <c r="E144" s="20" t="s">
        <v>312</v>
      </c>
      <c r="F144" s="20" t="s">
        <v>322</v>
      </c>
      <c r="G144" s="20">
        <v>11.5</v>
      </c>
      <c r="H144" s="20"/>
      <c r="I144" s="20">
        <v>3.59</v>
      </c>
      <c r="J144" s="98">
        <v>41.24</v>
      </c>
    </row>
    <row r="145">
      <c r="A145" s="20">
        <v>2026.0</v>
      </c>
      <c r="B145" s="20">
        <v>4.0</v>
      </c>
      <c r="C145" s="20" t="s">
        <v>62</v>
      </c>
      <c r="D145" s="20" t="s">
        <v>207</v>
      </c>
      <c r="E145" s="20" t="s">
        <v>126</v>
      </c>
      <c r="F145" s="20" t="s">
        <v>322</v>
      </c>
      <c r="G145" s="20">
        <v>21.0</v>
      </c>
      <c r="H145" s="20"/>
      <c r="I145" s="20">
        <v>1.03</v>
      </c>
      <c r="J145" s="98">
        <v>21.72</v>
      </c>
    </row>
    <row r="146">
      <c r="A146" s="20">
        <v>2026.0</v>
      </c>
      <c r="B146" s="20">
        <v>4.0</v>
      </c>
      <c r="C146" s="20" t="s">
        <v>62</v>
      </c>
      <c r="D146" s="20" t="s">
        <v>207</v>
      </c>
      <c r="E146" s="20" t="s">
        <v>143</v>
      </c>
      <c r="F146" s="20" t="s">
        <v>322</v>
      </c>
      <c r="G146" s="20">
        <v>21.0</v>
      </c>
      <c r="H146" s="20"/>
      <c r="I146" s="20">
        <v>0.69</v>
      </c>
      <c r="J146" s="98">
        <v>14.48</v>
      </c>
    </row>
    <row r="147">
      <c r="A147" s="20">
        <v>2026.0</v>
      </c>
      <c r="B147" s="20">
        <v>5.0</v>
      </c>
      <c r="C147" s="20" t="s">
        <v>62</v>
      </c>
      <c r="D147" s="20" t="s">
        <v>207</v>
      </c>
      <c r="E147" s="20" t="s">
        <v>126</v>
      </c>
      <c r="F147" s="20" t="s">
        <v>322</v>
      </c>
      <c r="G147" s="20">
        <v>12.0</v>
      </c>
      <c r="H147" s="20"/>
      <c r="I147" s="20">
        <v>1.03</v>
      </c>
      <c r="J147" s="98">
        <v>12.41</v>
      </c>
    </row>
    <row r="148">
      <c r="A148" s="20">
        <v>2026.0</v>
      </c>
      <c r="B148" s="20">
        <v>5.0</v>
      </c>
      <c r="C148" s="20" t="s">
        <v>62</v>
      </c>
      <c r="D148" s="20" t="s">
        <v>207</v>
      </c>
      <c r="E148" s="20" t="s">
        <v>143</v>
      </c>
      <c r="F148" s="20" t="s">
        <v>322</v>
      </c>
      <c r="G148" s="20">
        <v>12.0</v>
      </c>
      <c r="H148" s="20"/>
      <c r="I148" s="20">
        <v>0.69</v>
      </c>
      <c r="J148" s="98">
        <v>8.28</v>
      </c>
    </row>
    <row r="149">
      <c r="A149" s="20">
        <v>2026.0</v>
      </c>
      <c r="B149" s="20">
        <v>6.0</v>
      </c>
      <c r="C149" s="20" t="s">
        <v>62</v>
      </c>
      <c r="D149" s="20" t="s">
        <v>207</v>
      </c>
      <c r="E149" s="20" t="s">
        <v>126</v>
      </c>
      <c r="F149" s="20" t="s">
        <v>322</v>
      </c>
      <c r="G149" s="20">
        <v>4.0</v>
      </c>
      <c r="H149" s="20"/>
      <c r="I149" s="20">
        <v>1.03</v>
      </c>
      <c r="J149" s="98">
        <v>4.14</v>
      </c>
    </row>
    <row r="150">
      <c r="A150" s="20">
        <v>2026.0</v>
      </c>
      <c r="B150" s="20">
        <v>6.0</v>
      </c>
      <c r="C150" s="20" t="s">
        <v>62</v>
      </c>
      <c r="D150" s="20" t="s">
        <v>207</v>
      </c>
      <c r="E150" s="20" t="s">
        <v>126</v>
      </c>
      <c r="F150" s="20" t="s">
        <v>322</v>
      </c>
      <c r="G150" s="20">
        <v>16.0</v>
      </c>
      <c r="H150" s="20"/>
      <c r="I150" s="20">
        <v>1.03</v>
      </c>
      <c r="J150" s="98">
        <v>16.55</v>
      </c>
    </row>
    <row r="151">
      <c r="A151" s="20">
        <v>2026.0</v>
      </c>
      <c r="B151" s="20">
        <v>6.0</v>
      </c>
      <c r="C151" s="20" t="s">
        <v>62</v>
      </c>
      <c r="D151" s="20" t="s">
        <v>207</v>
      </c>
      <c r="E151" s="20" t="s">
        <v>143</v>
      </c>
      <c r="F151" s="20" t="s">
        <v>322</v>
      </c>
      <c r="G151" s="20">
        <v>4.0</v>
      </c>
      <c r="H151" s="20"/>
      <c r="I151" s="20">
        <v>0.69</v>
      </c>
      <c r="J151" s="98">
        <v>2.76</v>
      </c>
    </row>
    <row r="152">
      <c r="A152" s="20">
        <v>2026.0</v>
      </c>
      <c r="B152" s="20">
        <v>6.0</v>
      </c>
      <c r="C152" s="20" t="s">
        <v>62</v>
      </c>
      <c r="D152" s="20" t="s">
        <v>207</v>
      </c>
      <c r="E152" s="20" t="s">
        <v>143</v>
      </c>
      <c r="F152" s="20" t="s">
        <v>322</v>
      </c>
      <c r="G152" s="20">
        <v>16.0</v>
      </c>
      <c r="H152" s="20"/>
      <c r="I152" s="20">
        <v>0.69</v>
      </c>
      <c r="J152" s="98">
        <v>11.03</v>
      </c>
    </row>
    <row r="153">
      <c r="A153" s="20">
        <v>2026.0</v>
      </c>
      <c r="B153" s="20">
        <v>4.0</v>
      </c>
      <c r="C153" s="20" t="s">
        <v>210</v>
      </c>
      <c r="D153" s="20" t="s">
        <v>211</v>
      </c>
      <c r="E153" s="20" t="s">
        <v>152</v>
      </c>
      <c r="F153" s="20" t="s">
        <v>322</v>
      </c>
      <c r="G153" s="20">
        <v>21.0</v>
      </c>
      <c r="H153" s="20"/>
      <c r="I153" s="20">
        <v>9.38</v>
      </c>
      <c r="J153" s="98">
        <v>196.97</v>
      </c>
    </row>
    <row r="154">
      <c r="A154" s="20">
        <v>2026.0</v>
      </c>
      <c r="B154" s="20">
        <v>4.0</v>
      </c>
      <c r="C154" s="20" t="s">
        <v>62</v>
      </c>
      <c r="D154" s="20" t="s">
        <v>215</v>
      </c>
      <c r="E154" s="20" t="s">
        <v>126</v>
      </c>
      <c r="F154" s="20" t="s">
        <v>322</v>
      </c>
      <c r="G154" s="20">
        <v>11.5</v>
      </c>
      <c r="H154" s="20"/>
      <c r="I154" s="20">
        <v>0.48</v>
      </c>
      <c r="J154" s="98">
        <v>5.55</v>
      </c>
    </row>
    <row r="155">
      <c r="A155" s="20">
        <v>2026.0</v>
      </c>
      <c r="B155" s="20">
        <v>4.0</v>
      </c>
      <c r="C155" s="20" t="s">
        <v>62</v>
      </c>
      <c r="D155" s="20" t="s">
        <v>215</v>
      </c>
      <c r="E155" s="20" t="s">
        <v>143</v>
      </c>
      <c r="F155" s="20" t="s">
        <v>322</v>
      </c>
      <c r="G155" s="20">
        <v>11.5</v>
      </c>
      <c r="H155" s="20"/>
      <c r="I155" s="20">
        <v>0.28</v>
      </c>
      <c r="J155" s="98">
        <v>3.17</v>
      </c>
    </row>
    <row r="156">
      <c r="A156" s="20">
        <v>2026.0</v>
      </c>
      <c r="B156" s="20">
        <v>5.0</v>
      </c>
      <c r="C156" s="20" t="s">
        <v>62</v>
      </c>
      <c r="D156" s="20" t="s">
        <v>215</v>
      </c>
      <c r="E156" s="20" t="s">
        <v>126</v>
      </c>
      <c r="F156" s="20" t="s">
        <v>322</v>
      </c>
      <c r="G156" s="20">
        <v>13.5</v>
      </c>
      <c r="H156" s="20"/>
      <c r="I156" s="20">
        <v>0.48</v>
      </c>
      <c r="J156" s="98">
        <v>6.52</v>
      </c>
    </row>
    <row r="157">
      <c r="A157" s="20">
        <v>2026.0</v>
      </c>
      <c r="B157" s="20">
        <v>5.0</v>
      </c>
      <c r="C157" s="20" t="s">
        <v>62</v>
      </c>
      <c r="D157" s="20" t="s">
        <v>215</v>
      </c>
      <c r="E157" s="20" t="s">
        <v>143</v>
      </c>
      <c r="F157" s="20" t="s">
        <v>322</v>
      </c>
      <c r="G157" s="20">
        <v>13.5</v>
      </c>
      <c r="H157" s="20"/>
      <c r="I157" s="20">
        <v>0.28</v>
      </c>
      <c r="J157" s="98">
        <v>3.72</v>
      </c>
    </row>
    <row r="158">
      <c r="A158" s="20">
        <v>2026.0</v>
      </c>
      <c r="B158" s="20">
        <v>6.0</v>
      </c>
      <c r="C158" s="20" t="s">
        <v>62</v>
      </c>
      <c r="D158" s="20" t="s">
        <v>215</v>
      </c>
      <c r="E158" s="20" t="s">
        <v>126</v>
      </c>
      <c r="F158" s="20" t="s">
        <v>322</v>
      </c>
      <c r="G158" s="20">
        <v>9.5</v>
      </c>
      <c r="H158" s="20"/>
      <c r="I158" s="20">
        <v>0.48</v>
      </c>
      <c r="J158" s="98">
        <v>4.59</v>
      </c>
    </row>
    <row r="159">
      <c r="A159" s="20">
        <v>2026.0</v>
      </c>
      <c r="B159" s="20">
        <v>6.0</v>
      </c>
      <c r="C159" s="20" t="s">
        <v>62</v>
      </c>
      <c r="D159" s="20" t="s">
        <v>215</v>
      </c>
      <c r="E159" s="20" t="s">
        <v>143</v>
      </c>
      <c r="F159" s="20" t="s">
        <v>322</v>
      </c>
      <c r="G159" s="20">
        <v>9.5</v>
      </c>
      <c r="H159" s="20"/>
      <c r="I159" s="20">
        <v>0.28</v>
      </c>
      <c r="J159" s="98">
        <v>2.62</v>
      </c>
    </row>
    <row r="160">
      <c r="A160" s="20">
        <v>2026.0</v>
      </c>
      <c r="B160" s="20">
        <v>4.0</v>
      </c>
      <c r="C160" s="20" t="s">
        <v>62</v>
      </c>
      <c r="D160" s="20" t="s">
        <v>216</v>
      </c>
      <c r="E160" s="20" t="s">
        <v>126</v>
      </c>
      <c r="F160" s="20" t="s">
        <v>322</v>
      </c>
      <c r="G160" s="20">
        <v>21.0</v>
      </c>
      <c r="H160" s="20"/>
      <c r="I160" s="20">
        <v>1.52</v>
      </c>
      <c r="J160" s="98">
        <v>31.86</v>
      </c>
    </row>
    <row r="161">
      <c r="A161" s="20">
        <v>2026.0</v>
      </c>
      <c r="B161" s="20">
        <v>4.0</v>
      </c>
      <c r="C161" s="20" t="s">
        <v>62</v>
      </c>
      <c r="D161" s="20" t="s">
        <v>216</v>
      </c>
      <c r="E161" s="20" t="s">
        <v>143</v>
      </c>
      <c r="F161" s="20" t="s">
        <v>322</v>
      </c>
      <c r="G161" s="20">
        <v>21.0</v>
      </c>
      <c r="H161" s="20"/>
      <c r="I161" s="20">
        <v>1.03</v>
      </c>
      <c r="J161" s="98">
        <v>21.72</v>
      </c>
    </row>
    <row r="162">
      <c r="A162" s="20">
        <v>2026.0</v>
      </c>
      <c r="B162" s="20">
        <v>5.0</v>
      </c>
      <c r="C162" s="20" t="s">
        <v>62</v>
      </c>
      <c r="D162" s="20" t="s">
        <v>216</v>
      </c>
      <c r="E162" s="20" t="s">
        <v>126</v>
      </c>
      <c r="F162" s="20" t="s">
        <v>322</v>
      </c>
      <c r="G162" s="20">
        <v>18.0</v>
      </c>
      <c r="H162" s="20"/>
      <c r="I162" s="20">
        <v>1.52</v>
      </c>
      <c r="J162" s="98">
        <v>27.31</v>
      </c>
    </row>
    <row r="163">
      <c r="A163" s="20">
        <v>2026.0</v>
      </c>
      <c r="B163" s="20">
        <v>5.0</v>
      </c>
      <c r="C163" s="20" t="s">
        <v>62</v>
      </c>
      <c r="D163" s="20" t="s">
        <v>216</v>
      </c>
      <c r="E163" s="20" t="s">
        <v>143</v>
      </c>
      <c r="F163" s="20" t="s">
        <v>322</v>
      </c>
      <c r="G163" s="20">
        <v>18.0</v>
      </c>
      <c r="H163" s="20"/>
      <c r="I163" s="20">
        <v>1.03</v>
      </c>
      <c r="J163" s="98">
        <v>18.62</v>
      </c>
    </row>
    <row r="164">
      <c r="A164" s="20">
        <v>2026.0</v>
      </c>
      <c r="B164" s="20">
        <v>6.0</v>
      </c>
      <c r="C164" s="20" t="s">
        <v>62</v>
      </c>
      <c r="D164" s="20" t="s">
        <v>216</v>
      </c>
      <c r="E164" s="20" t="s">
        <v>126</v>
      </c>
      <c r="F164" s="20" t="s">
        <v>322</v>
      </c>
      <c r="G164" s="20">
        <v>5.0</v>
      </c>
      <c r="H164" s="20"/>
      <c r="I164" s="20">
        <v>1.52</v>
      </c>
      <c r="J164" s="98">
        <v>7.59</v>
      </c>
    </row>
    <row r="165">
      <c r="A165" s="20">
        <v>2026.0</v>
      </c>
      <c r="B165" s="20">
        <v>6.0</v>
      </c>
      <c r="C165" s="20" t="s">
        <v>62</v>
      </c>
      <c r="D165" s="20" t="s">
        <v>216</v>
      </c>
      <c r="E165" s="20" t="s">
        <v>126</v>
      </c>
      <c r="F165" s="20" t="s">
        <v>322</v>
      </c>
      <c r="G165" s="20">
        <v>10.0</v>
      </c>
      <c r="H165" s="20"/>
      <c r="I165" s="20">
        <v>1.52</v>
      </c>
      <c r="J165" s="98">
        <v>15.17</v>
      </c>
    </row>
    <row r="166">
      <c r="A166" s="20">
        <v>2026.0</v>
      </c>
      <c r="B166" s="20">
        <v>6.0</v>
      </c>
      <c r="C166" s="20" t="s">
        <v>62</v>
      </c>
      <c r="D166" s="20" t="s">
        <v>216</v>
      </c>
      <c r="E166" s="20" t="s">
        <v>143</v>
      </c>
      <c r="F166" s="20" t="s">
        <v>322</v>
      </c>
      <c r="G166" s="20">
        <v>5.0</v>
      </c>
      <c r="H166" s="20"/>
      <c r="I166" s="20">
        <v>1.03</v>
      </c>
      <c r="J166" s="98">
        <v>5.17</v>
      </c>
    </row>
    <row r="167">
      <c r="A167" s="20">
        <v>2026.0</v>
      </c>
      <c r="B167" s="20">
        <v>6.0</v>
      </c>
      <c r="C167" s="20" t="s">
        <v>62</v>
      </c>
      <c r="D167" s="20" t="s">
        <v>216</v>
      </c>
      <c r="E167" s="20" t="s">
        <v>143</v>
      </c>
      <c r="F167" s="20" t="s">
        <v>322</v>
      </c>
      <c r="G167" s="20">
        <v>10.0</v>
      </c>
      <c r="H167" s="20"/>
      <c r="I167" s="20">
        <v>1.03</v>
      </c>
      <c r="J167" s="98">
        <v>10.34</v>
      </c>
    </row>
    <row r="168">
      <c r="A168" s="20">
        <v>2026.0</v>
      </c>
      <c r="B168" s="20">
        <v>1.0</v>
      </c>
      <c r="C168" s="20" t="s">
        <v>284</v>
      </c>
      <c r="D168" s="20" t="s">
        <v>285</v>
      </c>
      <c r="E168" s="20" t="s">
        <v>285</v>
      </c>
      <c r="F168" s="20" t="s">
        <v>322</v>
      </c>
      <c r="G168" s="20">
        <v>19.0</v>
      </c>
      <c r="H168" s="20"/>
      <c r="I168" s="20">
        <v>8.48</v>
      </c>
      <c r="J168" s="98">
        <v>161.17</v>
      </c>
    </row>
    <row r="169">
      <c r="A169" s="20">
        <v>2026.0</v>
      </c>
      <c r="B169" s="20">
        <v>2.0</v>
      </c>
      <c r="C169" s="20" t="s">
        <v>284</v>
      </c>
      <c r="D169" s="20" t="s">
        <v>285</v>
      </c>
      <c r="E169" s="20" t="s">
        <v>285</v>
      </c>
      <c r="F169" s="20" t="s">
        <v>322</v>
      </c>
      <c r="G169" s="20">
        <v>19.0</v>
      </c>
      <c r="H169" s="20"/>
      <c r="I169" s="20">
        <v>8.48</v>
      </c>
      <c r="J169" s="98">
        <v>161.17</v>
      </c>
    </row>
    <row r="170">
      <c r="A170" s="20">
        <v>2026.0</v>
      </c>
      <c r="B170" s="20">
        <v>3.0</v>
      </c>
      <c r="C170" s="20" t="s">
        <v>284</v>
      </c>
      <c r="D170" s="20" t="s">
        <v>285</v>
      </c>
      <c r="E170" s="20" t="s">
        <v>285</v>
      </c>
      <c r="F170" s="20" t="s">
        <v>322</v>
      </c>
      <c r="G170" s="20">
        <v>22.0</v>
      </c>
      <c r="H170" s="20"/>
      <c r="I170" s="20">
        <v>8.48</v>
      </c>
      <c r="J170" s="98">
        <v>186.62</v>
      </c>
    </row>
    <row r="171">
      <c r="A171" s="20">
        <v>2026.0</v>
      </c>
      <c r="B171" s="20">
        <v>4.0</v>
      </c>
      <c r="C171" s="20" t="s">
        <v>284</v>
      </c>
      <c r="D171" s="20" t="s">
        <v>285</v>
      </c>
      <c r="E171" s="20" t="s">
        <v>285</v>
      </c>
      <c r="F171" s="20" t="s">
        <v>322</v>
      </c>
      <c r="G171" s="20">
        <v>17.0</v>
      </c>
      <c r="H171" s="20"/>
      <c r="I171" s="20">
        <v>8.48</v>
      </c>
      <c r="J171" s="98">
        <v>144.21</v>
      </c>
    </row>
    <row r="172">
      <c r="A172" s="20">
        <v>2026.0</v>
      </c>
      <c r="B172" s="20">
        <v>5.0</v>
      </c>
      <c r="C172" s="20" t="s">
        <v>284</v>
      </c>
      <c r="D172" s="20" t="s">
        <v>285</v>
      </c>
      <c r="E172" s="20" t="s">
        <v>285</v>
      </c>
      <c r="F172" s="20" t="s">
        <v>322</v>
      </c>
      <c r="G172" s="20">
        <v>11.0</v>
      </c>
      <c r="H172" s="20"/>
      <c r="I172" s="20">
        <v>8.48</v>
      </c>
      <c r="J172" s="98">
        <v>93.31</v>
      </c>
    </row>
    <row r="173">
      <c r="A173" s="20">
        <v>2026.0</v>
      </c>
      <c r="B173" s="20">
        <v>6.0</v>
      </c>
      <c r="C173" s="20" t="s">
        <v>284</v>
      </c>
      <c r="D173" s="20" t="s">
        <v>285</v>
      </c>
      <c r="E173" s="20" t="s">
        <v>285</v>
      </c>
      <c r="F173" s="20" t="s">
        <v>322</v>
      </c>
      <c r="G173" s="20">
        <v>17.0</v>
      </c>
      <c r="H173" s="20"/>
      <c r="I173" s="20">
        <v>8.48</v>
      </c>
      <c r="J173" s="98">
        <v>144.21</v>
      </c>
    </row>
    <row r="174">
      <c r="A174" s="20">
        <v>2026.0</v>
      </c>
      <c r="B174" s="20">
        <v>4.0</v>
      </c>
      <c r="C174" s="20" t="s">
        <v>230</v>
      </c>
      <c r="D174" s="20" t="s">
        <v>37</v>
      </c>
      <c r="E174" s="20" t="s">
        <v>112</v>
      </c>
      <c r="F174" s="20" t="s">
        <v>322</v>
      </c>
      <c r="G174" s="20">
        <v>16.0</v>
      </c>
      <c r="H174" s="20"/>
      <c r="I174" s="20">
        <v>2.41</v>
      </c>
      <c r="J174" s="98">
        <v>38.62</v>
      </c>
    </row>
    <row r="175">
      <c r="A175" s="20">
        <v>2026.0</v>
      </c>
      <c r="B175" s="20">
        <v>5.0</v>
      </c>
      <c r="C175" s="20" t="s">
        <v>230</v>
      </c>
      <c r="D175" s="20" t="s">
        <v>37</v>
      </c>
      <c r="E175" s="20" t="s">
        <v>112</v>
      </c>
      <c r="F175" s="20" t="s">
        <v>322</v>
      </c>
      <c r="G175" s="20">
        <v>4.0</v>
      </c>
      <c r="H175" s="20"/>
      <c r="I175" s="20">
        <v>2.41</v>
      </c>
      <c r="J175" s="98">
        <v>9.66</v>
      </c>
    </row>
    <row r="176">
      <c r="A176" s="20">
        <v>2026.0</v>
      </c>
      <c r="B176" s="20">
        <v>6.0</v>
      </c>
      <c r="C176" s="20" t="s">
        <v>230</v>
      </c>
      <c r="D176" s="20" t="s">
        <v>37</v>
      </c>
      <c r="E176" s="20" t="s">
        <v>112</v>
      </c>
      <c r="F176" s="20" t="s">
        <v>322</v>
      </c>
      <c r="G176" s="20">
        <v>21.0</v>
      </c>
      <c r="H176" s="20"/>
      <c r="I176" s="20">
        <v>2.41</v>
      </c>
      <c r="J176" s="98">
        <v>50.69</v>
      </c>
    </row>
    <row r="177">
      <c r="A177" s="20">
        <v>2026.0</v>
      </c>
      <c r="B177" s="20">
        <v>4.0</v>
      </c>
      <c r="C177" s="20" t="s">
        <v>220</v>
      </c>
      <c r="D177" s="20" t="s">
        <v>241</v>
      </c>
      <c r="E177" s="20" t="s">
        <v>312</v>
      </c>
      <c r="F177" s="20" t="s">
        <v>322</v>
      </c>
      <c r="G177" s="20">
        <v>20.0</v>
      </c>
      <c r="H177" s="20"/>
      <c r="I177" s="20">
        <v>4.41</v>
      </c>
      <c r="J177" s="98">
        <v>88.28</v>
      </c>
    </row>
    <row r="178">
      <c r="A178" s="20">
        <v>2026.0</v>
      </c>
      <c r="B178" s="20">
        <v>5.0</v>
      </c>
      <c r="C178" s="20" t="s">
        <v>220</v>
      </c>
      <c r="D178" s="20" t="s">
        <v>241</v>
      </c>
      <c r="E178" s="20" t="s">
        <v>312</v>
      </c>
      <c r="F178" s="20" t="s">
        <v>322</v>
      </c>
      <c r="G178" s="20">
        <v>17.0</v>
      </c>
      <c r="H178" s="20"/>
      <c r="I178" s="20">
        <v>4.41</v>
      </c>
      <c r="J178" s="98">
        <v>75.03</v>
      </c>
    </row>
    <row r="179">
      <c r="A179" s="20">
        <v>2026.0</v>
      </c>
      <c r="B179" s="20">
        <v>6.0</v>
      </c>
      <c r="C179" s="20" t="s">
        <v>220</v>
      </c>
      <c r="D179" s="20" t="s">
        <v>241</v>
      </c>
      <c r="E179" s="20" t="s">
        <v>312</v>
      </c>
      <c r="F179" s="20" t="s">
        <v>322</v>
      </c>
      <c r="G179" s="20">
        <v>20.0</v>
      </c>
      <c r="H179" s="20"/>
      <c r="I179" s="20">
        <v>4.41</v>
      </c>
      <c r="J179" s="98">
        <v>88.28</v>
      </c>
    </row>
    <row r="180">
      <c r="A180" s="20">
        <v>2026.0</v>
      </c>
      <c r="B180" s="20">
        <v>4.0</v>
      </c>
      <c r="C180" s="20" t="s">
        <v>108</v>
      </c>
      <c r="D180" s="20" t="s">
        <v>109</v>
      </c>
      <c r="E180" s="20" t="s">
        <v>308</v>
      </c>
      <c r="F180" s="20" t="s">
        <v>322</v>
      </c>
      <c r="G180" s="20">
        <v>20.0</v>
      </c>
      <c r="H180" s="20"/>
      <c r="I180" s="20">
        <v>17.1</v>
      </c>
      <c r="J180" s="98">
        <v>342.07</v>
      </c>
    </row>
    <row r="181">
      <c r="A181" s="20">
        <v>2026.0</v>
      </c>
      <c r="B181" s="20">
        <v>5.0</v>
      </c>
      <c r="C181" s="20" t="s">
        <v>108</v>
      </c>
      <c r="D181" s="20" t="s">
        <v>109</v>
      </c>
      <c r="E181" s="20" t="s">
        <v>308</v>
      </c>
      <c r="F181" s="20" t="s">
        <v>322</v>
      </c>
      <c r="G181" s="20">
        <v>17.0</v>
      </c>
      <c r="H181" s="20"/>
      <c r="I181" s="20">
        <v>17.1</v>
      </c>
      <c r="J181" s="98">
        <v>290.76</v>
      </c>
    </row>
    <row r="182">
      <c r="A182" s="20">
        <v>2026.0</v>
      </c>
      <c r="B182" s="20">
        <v>6.0</v>
      </c>
      <c r="C182" s="20" t="s">
        <v>108</v>
      </c>
      <c r="D182" s="20" t="s">
        <v>109</v>
      </c>
      <c r="E182" s="20" t="s">
        <v>308</v>
      </c>
      <c r="F182" s="20" t="s">
        <v>322</v>
      </c>
      <c r="G182" s="20">
        <v>16.0</v>
      </c>
      <c r="H182" s="20"/>
      <c r="I182" s="20">
        <v>17.1</v>
      </c>
      <c r="J182" s="98">
        <v>273.66</v>
      </c>
    </row>
    <row r="183">
      <c r="A183" s="20">
        <v>2026.0</v>
      </c>
      <c r="B183" s="20">
        <v>4.0</v>
      </c>
      <c r="C183" s="20" t="s">
        <v>260</v>
      </c>
      <c r="D183" s="20" t="s">
        <v>261</v>
      </c>
      <c r="E183" s="20" t="s">
        <v>261</v>
      </c>
      <c r="F183" s="20" t="s">
        <v>322</v>
      </c>
      <c r="G183" s="20">
        <v>20.0</v>
      </c>
      <c r="H183" s="20"/>
      <c r="I183" s="20">
        <v>11.03</v>
      </c>
      <c r="J183" s="98">
        <v>220.69</v>
      </c>
    </row>
    <row r="184">
      <c r="A184" s="20">
        <v>2026.0</v>
      </c>
      <c r="B184" s="20">
        <v>5.0</v>
      </c>
      <c r="C184" s="20" t="s">
        <v>260</v>
      </c>
      <c r="D184" s="20" t="s">
        <v>261</v>
      </c>
      <c r="E184" s="20" t="s">
        <v>261</v>
      </c>
      <c r="F184" s="20" t="s">
        <v>322</v>
      </c>
      <c r="G184" s="20">
        <v>15.0</v>
      </c>
      <c r="H184" s="20"/>
      <c r="I184" s="20">
        <v>11.03</v>
      </c>
      <c r="J184" s="98">
        <v>165.52</v>
      </c>
    </row>
    <row r="185">
      <c r="A185" s="20">
        <v>2026.0</v>
      </c>
      <c r="B185" s="20">
        <v>6.0</v>
      </c>
      <c r="C185" s="20" t="s">
        <v>260</v>
      </c>
      <c r="D185" s="20" t="s">
        <v>261</v>
      </c>
      <c r="E185" s="20" t="s">
        <v>261</v>
      </c>
      <c r="F185" s="20" t="s">
        <v>322</v>
      </c>
      <c r="G185" s="20">
        <v>19.0</v>
      </c>
      <c r="H185" s="20"/>
      <c r="I185" s="20">
        <v>11.03</v>
      </c>
      <c r="J185" s="98">
        <v>209.66</v>
      </c>
    </row>
    <row r="186">
      <c r="A186" s="20">
        <v>2026.0</v>
      </c>
      <c r="B186" s="20">
        <v>4.0</v>
      </c>
      <c r="C186" s="20" t="s">
        <v>262</v>
      </c>
      <c r="D186" s="20" t="s">
        <v>263</v>
      </c>
      <c r="E186" s="20" t="s">
        <v>126</v>
      </c>
      <c r="F186" s="20" t="s">
        <v>322</v>
      </c>
      <c r="G186" s="20">
        <v>20.0</v>
      </c>
      <c r="H186" s="20"/>
      <c r="I186" s="20">
        <v>1.17</v>
      </c>
      <c r="J186" s="98">
        <v>23.45</v>
      </c>
    </row>
    <row r="187">
      <c r="A187" s="20">
        <v>2026.0</v>
      </c>
      <c r="B187" s="20">
        <v>4.0</v>
      </c>
      <c r="C187" s="20" t="s">
        <v>262</v>
      </c>
      <c r="D187" s="20" t="s">
        <v>263</v>
      </c>
      <c r="E187" s="20" t="s">
        <v>143</v>
      </c>
      <c r="F187" s="20" t="s">
        <v>322</v>
      </c>
      <c r="G187" s="20">
        <v>20.0</v>
      </c>
      <c r="H187" s="20"/>
      <c r="I187" s="20">
        <v>0.76</v>
      </c>
      <c r="J187" s="98">
        <v>15.17</v>
      </c>
    </row>
    <row r="188">
      <c r="A188" s="20">
        <v>2026.0</v>
      </c>
      <c r="B188" s="20">
        <v>5.0</v>
      </c>
      <c r="C188" s="20" t="s">
        <v>262</v>
      </c>
      <c r="D188" s="20" t="s">
        <v>263</v>
      </c>
      <c r="E188" s="20" t="s">
        <v>126</v>
      </c>
      <c r="F188" s="20" t="s">
        <v>322</v>
      </c>
      <c r="G188" s="20">
        <v>18.0</v>
      </c>
      <c r="H188" s="20"/>
      <c r="I188" s="20">
        <v>1.17</v>
      </c>
      <c r="J188" s="98">
        <v>21.1</v>
      </c>
    </row>
    <row r="189">
      <c r="A189" s="20">
        <v>2026.0</v>
      </c>
      <c r="B189" s="20">
        <v>5.0</v>
      </c>
      <c r="C189" s="20" t="s">
        <v>262</v>
      </c>
      <c r="D189" s="20" t="s">
        <v>263</v>
      </c>
      <c r="E189" s="20" t="s">
        <v>143</v>
      </c>
      <c r="F189" s="20" t="s">
        <v>322</v>
      </c>
      <c r="G189" s="20">
        <v>18.0</v>
      </c>
      <c r="H189" s="20"/>
      <c r="I189" s="20">
        <v>0.76</v>
      </c>
      <c r="J189" s="98">
        <v>13.66</v>
      </c>
    </row>
    <row r="190">
      <c r="A190" s="20">
        <v>2026.0</v>
      </c>
      <c r="B190" s="20">
        <v>6.0</v>
      </c>
      <c r="C190" s="20" t="s">
        <v>262</v>
      </c>
      <c r="D190" s="20" t="s">
        <v>263</v>
      </c>
      <c r="E190" s="20" t="s">
        <v>126</v>
      </c>
      <c r="F190" s="20" t="s">
        <v>322</v>
      </c>
      <c r="G190" s="20">
        <v>22.0</v>
      </c>
      <c r="H190" s="20"/>
      <c r="I190" s="20">
        <v>1.17</v>
      </c>
      <c r="J190" s="98">
        <v>25.79</v>
      </c>
    </row>
    <row r="191">
      <c r="A191" s="20">
        <v>2026.0</v>
      </c>
      <c r="B191" s="20">
        <v>6.0</v>
      </c>
      <c r="C191" s="20" t="s">
        <v>262</v>
      </c>
      <c r="D191" s="20" t="s">
        <v>263</v>
      </c>
      <c r="E191" s="20" t="s">
        <v>143</v>
      </c>
      <c r="F191" s="20" t="s">
        <v>322</v>
      </c>
      <c r="G191" s="20">
        <v>22.0</v>
      </c>
      <c r="H191" s="20"/>
      <c r="I191" s="20">
        <v>0.76</v>
      </c>
      <c r="J191" s="98">
        <v>16.69</v>
      </c>
    </row>
    <row r="192">
      <c r="A192" s="20">
        <v>2026.0</v>
      </c>
      <c r="B192" s="20">
        <v>4.0</v>
      </c>
      <c r="C192" s="20" t="s">
        <v>62</v>
      </c>
      <c r="D192" s="20" t="s">
        <v>251</v>
      </c>
      <c r="E192" s="20" t="s">
        <v>126</v>
      </c>
      <c r="F192" s="20" t="s">
        <v>322</v>
      </c>
      <c r="G192" s="20">
        <v>20.0</v>
      </c>
      <c r="H192" s="20"/>
      <c r="I192" s="20">
        <v>1.24</v>
      </c>
      <c r="J192" s="98">
        <v>24.83</v>
      </c>
    </row>
    <row r="193">
      <c r="A193" s="20">
        <v>2026.0</v>
      </c>
      <c r="B193" s="20">
        <v>4.0</v>
      </c>
      <c r="C193" s="20" t="s">
        <v>62</v>
      </c>
      <c r="D193" s="20" t="s">
        <v>251</v>
      </c>
      <c r="E193" s="20" t="s">
        <v>143</v>
      </c>
      <c r="F193" s="20" t="s">
        <v>322</v>
      </c>
      <c r="G193" s="20">
        <v>20.0</v>
      </c>
      <c r="H193" s="20"/>
      <c r="I193" s="20">
        <v>0.83</v>
      </c>
      <c r="J193" s="98">
        <v>16.55</v>
      </c>
    </row>
    <row r="194">
      <c r="A194" s="20">
        <v>2026.0</v>
      </c>
      <c r="B194" s="20">
        <v>5.0</v>
      </c>
      <c r="C194" s="20" t="s">
        <v>62</v>
      </c>
      <c r="D194" s="20" t="s">
        <v>251</v>
      </c>
      <c r="E194" s="20" t="s">
        <v>126</v>
      </c>
      <c r="F194" s="20" t="s">
        <v>322</v>
      </c>
      <c r="G194" s="20">
        <v>18.0</v>
      </c>
      <c r="H194" s="20"/>
      <c r="I194" s="20">
        <v>1.24</v>
      </c>
      <c r="J194" s="98">
        <v>22.34</v>
      </c>
    </row>
    <row r="195">
      <c r="A195" s="20">
        <v>2026.0</v>
      </c>
      <c r="B195" s="20">
        <v>5.0</v>
      </c>
      <c r="C195" s="20" t="s">
        <v>62</v>
      </c>
      <c r="D195" s="20" t="s">
        <v>251</v>
      </c>
      <c r="E195" s="20" t="s">
        <v>143</v>
      </c>
      <c r="F195" s="20" t="s">
        <v>322</v>
      </c>
      <c r="G195" s="20">
        <v>18.0</v>
      </c>
      <c r="H195" s="20"/>
      <c r="I195" s="20">
        <v>0.83</v>
      </c>
      <c r="J195" s="98">
        <v>14.9</v>
      </c>
    </row>
    <row r="196">
      <c r="A196" s="20">
        <v>2026.0</v>
      </c>
      <c r="B196" s="20">
        <v>6.0</v>
      </c>
      <c r="C196" s="20" t="s">
        <v>62</v>
      </c>
      <c r="D196" s="20" t="s">
        <v>251</v>
      </c>
      <c r="E196" s="20" t="s">
        <v>126</v>
      </c>
      <c r="F196" s="20" t="s">
        <v>322</v>
      </c>
      <c r="G196" s="20">
        <v>15.0</v>
      </c>
      <c r="H196" s="20"/>
      <c r="I196" s="20">
        <v>1.24</v>
      </c>
      <c r="J196" s="98">
        <v>18.62</v>
      </c>
    </row>
    <row r="197">
      <c r="A197" s="20">
        <v>2026.0</v>
      </c>
      <c r="B197" s="20">
        <v>6.0</v>
      </c>
      <c r="C197" s="20" t="s">
        <v>62</v>
      </c>
      <c r="D197" s="20" t="s">
        <v>251</v>
      </c>
      <c r="E197" s="20" t="s">
        <v>143</v>
      </c>
      <c r="F197" s="20" t="s">
        <v>322</v>
      </c>
      <c r="G197" s="20">
        <v>15.0</v>
      </c>
      <c r="H197" s="20"/>
      <c r="I197" s="20">
        <v>0.83</v>
      </c>
      <c r="J197" s="98">
        <v>12.41</v>
      </c>
    </row>
    <row r="198">
      <c r="A198" s="20">
        <v>2026.0</v>
      </c>
      <c r="B198" s="20">
        <v>4.0</v>
      </c>
      <c r="C198" s="20" t="s">
        <v>268</v>
      </c>
      <c r="D198" s="20" t="s">
        <v>269</v>
      </c>
      <c r="E198" s="20" t="s">
        <v>269</v>
      </c>
      <c r="F198" s="20" t="s">
        <v>322</v>
      </c>
      <c r="G198" s="20">
        <v>15.0</v>
      </c>
      <c r="H198" s="20"/>
      <c r="I198" s="20">
        <v>5.52</v>
      </c>
      <c r="J198" s="98">
        <v>82.76</v>
      </c>
    </row>
    <row r="199">
      <c r="A199" s="20">
        <v>2026.0</v>
      </c>
      <c r="B199" s="20">
        <v>5.0</v>
      </c>
      <c r="C199" s="20" t="s">
        <v>268</v>
      </c>
      <c r="D199" s="20" t="s">
        <v>269</v>
      </c>
      <c r="E199" s="20" t="s">
        <v>269</v>
      </c>
      <c r="F199" s="20" t="s">
        <v>322</v>
      </c>
      <c r="G199" s="20">
        <v>16.0</v>
      </c>
      <c r="H199" s="20"/>
      <c r="I199" s="20">
        <v>5.52</v>
      </c>
      <c r="J199" s="98">
        <v>88.28</v>
      </c>
    </row>
    <row r="200">
      <c r="A200" s="20">
        <v>2026.0</v>
      </c>
      <c r="B200" s="20">
        <v>6.0</v>
      </c>
      <c r="C200" s="20" t="s">
        <v>268</v>
      </c>
      <c r="D200" s="20" t="s">
        <v>269</v>
      </c>
      <c r="E200" s="20" t="s">
        <v>269</v>
      </c>
      <c r="F200" s="20" t="s">
        <v>322</v>
      </c>
      <c r="G200" s="20">
        <v>19.5</v>
      </c>
      <c r="H200" s="20"/>
      <c r="I200" s="20">
        <v>5.52</v>
      </c>
      <c r="J200" s="98">
        <v>107.59</v>
      </c>
    </row>
    <row r="201">
      <c r="A201" s="20">
        <v>2026.0</v>
      </c>
      <c r="B201" s="20">
        <v>4.0</v>
      </c>
      <c r="C201" s="20" t="s">
        <v>270</v>
      </c>
      <c r="D201" s="20" t="s">
        <v>271</v>
      </c>
      <c r="E201" s="20" t="s">
        <v>271</v>
      </c>
      <c r="F201" s="20" t="s">
        <v>322</v>
      </c>
      <c r="G201" s="20">
        <v>15.0</v>
      </c>
      <c r="H201" s="20"/>
      <c r="I201" s="20">
        <v>8.48</v>
      </c>
      <c r="J201" s="98">
        <v>127.24</v>
      </c>
    </row>
    <row r="202">
      <c r="A202" s="20">
        <v>2026.0</v>
      </c>
      <c r="B202" s="20">
        <v>5.0</v>
      </c>
      <c r="C202" s="20" t="s">
        <v>270</v>
      </c>
      <c r="D202" s="20" t="s">
        <v>271</v>
      </c>
      <c r="E202" s="20" t="s">
        <v>271</v>
      </c>
      <c r="F202" s="20" t="s">
        <v>322</v>
      </c>
      <c r="G202" s="20">
        <v>16.5</v>
      </c>
      <c r="H202" s="20"/>
      <c r="I202" s="20">
        <v>8.48</v>
      </c>
      <c r="J202" s="98">
        <v>139.97</v>
      </c>
    </row>
    <row r="203">
      <c r="A203" s="20">
        <v>2026.0</v>
      </c>
      <c r="B203" s="20">
        <v>6.0</v>
      </c>
      <c r="C203" s="20" t="s">
        <v>270</v>
      </c>
      <c r="D203" s="20" t="s">
        <v>271</v>
      </c>
      <c r="E203" s="20" t="s">
        <v>271</v>
      </c>
      <c r="F203" s="20" t="s">
        <v>322</v>
      </c>
      <c r="G203" s="20">
        <v>1.0</v>
      </c>
      <c r="H203" s="20"/>
      <c r="I203" s="20">
        <v>8.48</v>
      </c>
      <c r="J203" s="98">
        <v>8.48</v>
      </c>
    </row>
    <row r="204">
      <c r="A204" s="20">
        <v>2026.0</v>
      </c>
      <c r="B204" s="20">
        <v>6.0</v>
      </c>
      <c r="C204" s="20" t="s">
        <v>270</v>
      </c>
      <c r="D204" s="20" t="s">
        <v>271</v>
      </c>
      <c r="E204" s="20" t="s">
        <v>271</v>
      </c>
      <c r="F204" s="20" t="s">
        <v>322</v>
      </c>
      <c r="G204" s="20">
        <v>19.0</v>
      </c>
      <c r="H204" s="20"/>
      <c r="I204" s="20">
        <v>8.48</v>
      </c>
      <c r="J204" s="98">
        <v>161.17</v>
      </c>
    </row>
    <row r="205">
      <c r="A205" s="20">
        <v>2026.0</v>
      </c>
      <c r="B205" s="20">
        <v>4.0</v>
      </c>
      <c r="C205" s="20" t="s">
        <v>337</v>
      </c>
      <c r="D205" s="20" t="s">
        <v>313</v>
      </c>
      <c r="E205" s="20" t="s">
        <v>308</v>
      </c>
      <c r="F205" s="20" t="s">
        <v>322</v>
      </c>
      <c r="G205" s="20">
        <v>5.0</v>
      </c>
      <c r="H205" s="20"/>
      <c r="I205" s="20">
        <v>4.55</v>
      </c>
      <c r="J205" s="98">
        <v>22.76</v>
      </c>
    </row>
    <row r="206">
      <c r="A206" s="20">
        <v>2026.0</v>
      </c>
      <c r="B206" s="20">
        <v>4.0</v>
      </c>
      <c r="C206" s="20" t="s">
        <v>337</v>
      </c>
      <c r="D206" s="20" t="s">
        <v>313</v>
      </c>
      <c r="E206" s="20" t="s">
        <v>308</v>
      </c>
      <c r="F206" s="20" t="s">
        <v>322</v>
      </c>
      <c r="G206" s="20">
        <v>15.0</v>
      </c>
      <c r="H206" s="20"/>
      <c r="I206" s="20">
        <v>4.55</v>
      </c>
      <c r="J206" s="98">
        <v>68.28</v>
      </c>
    </row>
    <row r="207">
      <c r="A207" s="20">
        <v>2026.0</v>
      </c>
      <c r="B207" s="20">
        <v>4.0</v>
      </c>
      <c r="C207" s="20" t="s">
        <v>337</v>
      </c>
      <c r="D207" s="20" t="s">
        <v>313</v>
      </c>
      <c r="E207" s="20" t="s">
        <v>313</v>
      </c>
      <c r="F207" s="20" t="s">
        <v>322</v>
      </c>
      <c r="G207" s="20">
        <v>5.0</v>
      </c>
      <c r="H207" s="20"/>
      <c r="I207" s="20">
        <v>4.55</v>
      </c>
      <c r="J207" s="98">
        <v>22.76</v>
      </c>
    </row>
    <row r="208">
      <c r="A208" s="20">
        <v>2026.0</v>
      </c>
      <c r="B208" s="20">
        <v>4.0</v>
      </c>
      <c r="C208" s="20" t="s">
        <v>337</v>
      </c>
      <c r="D208" s="20" t="s">
        <v>313</v>
      </c>
      <c r="E208" s="20" t="s">
        <v>313</v>
      </c>
      <c r="F208" s="20" t="s">
        <v>322</v>
      </c>
      <c r="G208" s="20">
        <v>15.0</v>
      </c>
      <c r="H208" s="20"/>
      <c r="I208" s="20">
        <v>4.55</v>
      </c>
      <c r="J208" s="98">
        <v>68.28</v>
      </c>
    </row>
    <row r="209">
      <c r="A209" s="20">
        <v>2026.0</v>
      </c>
      <c r="B209" s="20">
        <v>5.0</v>
      </c>
      <c r="C209" s="20" t="s">
        <v>337</v>
      </c>
      <c r="D209" s="20" t="s">
        <v>313</v>
      </c>
      <c r="E209" s="20" t="s">
        <v>308</v>
      </c>
      <c r="F209" s="20" t="s">
        <v>322</v>
      </c>
      <c r="G209" s="20">
        <v>17.0</v>
      </c>
      <c r="H209" s="20"/>
      <c r="I209" s="20">
        <v>4.55</v>
      </c>
      <c r="J209" s="98">
        <v>77.38</v>
      </c>
    </row>
    <row r="210">
      <c r="A210" s="20">
        <v>2026.0</v>
      </c>
      <c r="B210" s="20">
        <v>5.0</v>
      </c>
      <c r="C210" s="20" t="s">
        <v>337</v>
      </c>
      <c r="D210" s="20" t="s">
        <v>313</v>
      </c>
      <c r="E210" s="20" t="s">
        <v>313</v>
      </c>
      <c r="F210" s="20" t="s">
        <v>322</v>
      </c>
      <c r="G210" s="20">
        <v>17.0</v>
      </c>
      <c r="H210" s="20"/>
      <c r="I210" s="20">
        <v>4.55</v>
      </c>
      <c r="J210" s="98">
        <v>77.38</v>
      </c>
    </row>
    <row r="211">
      <c r="A211" s="20">
        <v>2026.0</v>
      </c>
      <c r="B211" s="20">
        <v>6.0</v>
      </c>
      <c r="C211" s="20" t="s">
        <v>337</v>
      </c>
      <c r="D211" s="20" t="s">
        <v>313</v>
      </c>
      <c r="E211" s="20" t="s">
        <v>308</v>
      </c>
      <c r="F211" s="20" t="s">
        <v>322</v>
      </c>
      <c r="G211" s="20">
        <v>22.0</v>
      </c>
      <c r="H211" s="20"/>
      <c r="I211" s="20">
        <v>4.55</v>
      </c>
      <c r="J211" s="98">
        <v>100.14</v>
      </c>
    </row>
    <row r="212">
      <c r="A212" s="20">
        <v>2026.0</v>
      </c>
      <c r="B212" s="20">
        <v>6.0</v>
      </c>
      <c r="C212" s="20" t="s">
        <v>337</v>
      </c>
      <c r="D212" s="20" t="s">
        <v>313</v>
      </c>
      <c r="E212" s="20" t="s">
        <v>313</v>
      </c>
      <c r="F212" s="20" t="s">
        <v>322</v>
      </c>
      <c r="G212" s="20">
        <v>22.0</v>
      </c>
      <c r="H212" s="20"/>
      <c r="I212" s="20">
        <v>4.55</v>
      </c>
      <c r="J212" s="98">
        <v>100.14</v>
      </c>
    </row>
    <row r="213">
      <c r="A213" s="20">
        <v>2026.0</v>
      </c>
      <c r="B213" s="20">
        <v>4.0</v>
      </c>
      <c r="C213" s="20" t="s">
        <v>338</v>
      </c>
      <c r="D213" s="20" t="s">
        <v>339</v>
      </c>
      <c r="E213" s="20" t="s">
        <v>308</v>
      </c>
      <c r="F213" s="20" t="s">
        <v>322</v>
      </c>
      <c r="G213" s="20">
        <v>4.0</v>
      </c>
      <c r="H213" s="20"/>
      <c r="I213" s="20">
        <v>12.9</v>
      </c>
      <c r="J213" s="98">
        <v>51.59</v>
      </c>
    </row>
    <row r="214">
      <c r="A214" s="20">
        <v>2026.0</v>
      </c>
      <c r="B214" s="20">
        <v>4.0</v>
      </c>
      <c r="C214" s="20" t="s">
        <v>338</v>
      </c>
      <c r="D214" s="20" t="s">
        <v>339</v>
      </c>
      <c r="E214" s="20" t="s">
        <v>308</v>
      </c>
      <c r="F214" s="20" t="s">
        <v>322</v>
      </c>
      <c r="G214" s="20">
        <v>16.0</v>
      </c>
      <c r="H214" s="20"/>
      <c r="I214" s="20">
        <v>12.9</v>
      </c>
      <c r="J214" s="98">
        <v>206.34</v>
      </c>
    </row>
    <row r="215">
      <c r="A215" s="20">
        <v>2026.0</v>
      </c>
      <c r="B215" s="20">
        <v>5.0</v>
      </c>
      <c r="C215" s="20" t="s">
        <v>338</v>
      </c>
      <c r="D215" s="20" t="s">
        <v>339</v>
      </c>
      <c r="E215" s="20" t="s">
        <v>308</v>
      </c>
      <c r="F215" s="20" t="s">
        <v>322</v>
      </c>
      <c r="G215" s="20">
        <v>8.0</v>
      </c>
      <c r="H215" s="20"/>
      <c r="I215" s="20">
        <v>12.9</v>
      </c>
      <c r="J215" s="98">
        <v>103.17</v>
      </c>
    </row>
    <row r="216">
      <c r="A216" s="20">
        <v>2026.0</v>
      </c>
      <c r="B216" s="20">
        <v>6.0</v>
      </c>
      <c r="C216" s="20" t="s">
        <v>338</v>
      </c>
      <c r="D216" s="20" t="s">
        <v>339</v>
      </c>
      <c r="E216" s="20" t="s">
        <v>308</v>
      </c>
      <c r="F216" s="20" t="s">
        <v>322</v>
      </c>
      <c r="G216" s="20">
        <v>20.5</v>
      </c>
      <c r="H216" s="20"/>
      <c r="I216" s="20">
        <v>12.9</v>
      </c>
      <c r="J216" s="98">
        <v>264.38</v>
      </c>
    </row>
    <row r="217">
      <c r="A217" s="20">
        <v>2026.0</v>
      </c>
      <c r="B217" s="20">
        <v>4.0</v>
      </c>
      <c r="C217" s="20" t="s">
        <v>274</v>
      </c>
      <c r="D217" s="20" t="s">
        <v>275</v>
      </c>
      <c r="E217" s="20" t="s">
        <v>308</v>
      </c>
      <c r="F217" s="20" t="s">
        <v>322</v>
      </c>
      <c r="G217" s="20">
        <v>10.0</v>
      </c>
      <c r="H217" s="20"/>
      <c r="I217" s="20">
        <v>5.17</v>
      </c>
      <c r="J217" s="98">
        <v>51.72</v>
      </c>
    </row>
    <row r="218">
      <c r="A218" s="57">
        <v>2026.0</v>
      </c>
      <c r="B218" s="57">
        <v>4.0</v>
      </c>
      <c r="C218" s="57" t="s">
        <v>190</v>
      </c>
      <c r="D218" s="57" t="s">
        <v>191</v>
      </c>
      <c r="E218" s="57" t="s">
        <v>150</v>
      </c>
      <c r="F218" s="57" t="s">
        <v>322</v>
      </c>
      <c r="G218" s="57">
        <v>19.0</v>
      </c>
      <c r="H218" s="57"/>
      <c r="I218" s="57">
        <v>2.4</v>
      </c>
      <c r="J218" s="124">
        <f t="shared" ref="J218:J220" si="3">G218*I218</f>
        <v>45.6</v>
      </c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</row>
    <row r="219">
      <c r="A219" s="57">
        <v>2026.0</v>
      </c>
      <c r="B219" s="57">
        <v>5.0</v>
      </c>
      <c r="C219" s="57" t="s">
        <v>190</v>
      </c>
      <c r="D219" s="57" t="s">
        <v>191</v>
      </c>
      <c r="E219" s="57" t="s">
        <v>150</v>
      </c>
      <c r="F219" s="57" t="s">
        <v>322</v>
      </c>
      <c r="G219" s="57">
        <v>10.0</v>
      </c>
      <c r="H219" s="57"/>
      <c r="I219" s="57">
        <v>2.4</v>
      </c>
      <c r="J219" s="124">
        <f t="shared" si="3"/>
        <v>24</v>
      </c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</row>
    <row r="220">
      <c r="A220" s="57">
        <v>2026.0</v>
      </c>
      <c r="B220" s="57">
        <v>6.0</v>
      </c>
      <c r="C220" s="57" t="s">
        <v>190</v>
      </c>
      <c r="D220" s="57" t="s">
        <v>191</v>
      </c>
      <c r="E220" s="57" t="s">
        <v>150</v>
      </c>
      <c r="F220" s="57" t="s">
        <v>322</v>
      </c>
      <c r="G220" s="57">
        <v>11.0</v>
      </c>
      <c r="H220" s="57"/>
      <c r="I220" s="57">
        <v>2.4</v>
      </c>
      <c r="J220" s="124">
        <f t="shared" si="3"/>
        <v>26.4</v>
      </c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</row>
    <row r="221">
      <c r="J221" s="105"/>
    </row>
    <row r="222">
      <c r="J222" s="105"/>
    </row>
    <row r="223">
      <c r="J223" s="105"/>
    </row>
    <row r="224">
      <c r="J224" s="105"/>
    </row>
    <row r="225">
      <c r="J225" s="105"/>
    </row>
    <row r="226">
      <c r="J226" s="105"/>
    </row>
    <row r="227">
      <c r="J227" s="105"/>
    </row>
    <row r="228">
      <c r="J228" s="105"/>
    </row>
    <row r="229">
      <c r="J229" s="105"/>
    </row>
    <row r="230">
      <c r="J230" s="105"/>
    </row>
    <row r="231">
      <c r="J231" s="105"/>
    </row>
    <row r="232">
      <c r="J232" s="105"/>
    </row>
    <row r="233">
      <c r="J233" s="105"/>
    </row>
    <row r="234">
      <c r="J234" s="105"/>
    </row>
    <row r="235">
      <c r="J235" s="105"/>
    </row>
    <row r="236">
      <c r="J236" s="105"/>
    </row>
    <row r="237">
      <c r="J237" s="105"/>
    </row>
    <row r="238">
      <c r="J238" s="105"/>
    </row>
    <row r="239">
      <c r="J239" s="105"/>
    </row>
    <row r="240">
      <c r="J240" s="105"/>
    </row>
    <row r="241">
      <c r="J241" s="105"/>
    </row>
    <row r="242">
      <c r="J242" s="105"/>
    </row>
    <row r="243">
      <c r="J243" s="105"/>
    </row>
    <row r="244">
      <c r="J244" s="105"/>
    </row>
    <row r="245">
      <c r="J245" s="105"/>
    </row>
    <row r="246">
      <c r="J246" s="105"/>
    </row>
    <row r="247">
      <c r="J247" s="105"/>
    </row>
    <row r="248">
      <c r="J248" s="105"/>
    </row>
    <row r="249">
      <c r="J249" s="105"/>
    </row>
    <row r="250">
      <c r="J250" s="105"/>
    </row>
    <row r="251">
      <c r="J251" s="105"/>
    </row>
    <row r="252">
      <c r="J252" s="105"/>
    </row>
    <row r="253">
      <c r="J253" s="105"/>
    </row>
    <row r="254">
      <c r="J254" s="105"/>
    </row>
    <row r="255">
      <c r="J255" s="105"/>
    </row>
    <row r="256">
      <c r="J256" s="105"/>
    </row>
    <row r="257">
      <c r="J257" s="105"/>
    </row>
    <row r="258">
      <c r="J258" s="105"/>
    </row>
    <row r="259">
      <c r="J259" s="105"/>
    </row>
    <row r="260">
      <c r="J260" s="105"/>
    </row>
    <row r="261">
      <c r="J261" s="105"/>
    </row>
    <row r="262">
      <c r="J262" s="105"/>
    </row>
    <row r="263">
      <c r="J263" s="105"/>
    </row>
    <row r="264">
      <c r="J264" s="105"/>
    </row>
    <row r="265">
      <c r="J265" s="105"/>
    </row>
    <row r="266">
      <c r="J266" s="105"/>
    </row>
    <row r="267">
      <c r="J267" s="105"/>
    </row>
    <row r="268">
      <c r="J268" s="105"/>
    </row>
    <row r="269">
      <c r="J269" s="105"/>
    </row>
    <row r="270">
      <c r="J270" s="105"/>
    </row>
    <row r="271">
      <c r="J271" s="105"/>
    </row>
    <row r="272">
      <c r="J272" s="105"/>
    </row>
    <row r="273">
      <c r="J273" s="105"/>
    </row>
    <row r="274">
      <c r="J274" s="105"/>
    </row>
    <row r="275">
      <c r="J275" s="105"/>
    </row>
    <row r="276">
      <c r="J276" s="105"/>
    </row>
    <row r="277">
      <c r="J277" s="105"/>
    </row>
    <row r="278">
      <c r="J278" s="105"/>
    </row>
    <row r="279">
      <c r="J279" s="105"/>
    </row>
    <row r="280">
      <c r="J280" s="105"/>
    </row>
    <row r="281">
      <c r="J281" s="105"/>
    </row>
    <row r="282">
      <c r="J282" s="105"/>
    </row>
    <row r="283">
      <c r="J283" s="105"/>
    </row>
    <row r="284">
      <c r="J284" s="105"/>
    </row>
    <row r="285">
      <c r="J285" s="105"/>
    </row>
    <row r="286">
      <c r="J286" s="105"/>
    </row>
    <row r="287">
      <c r="J287" s="105"/>
    </row>
    <row r="288">
      <c r="J288" s="105"/>
    </row>
    <row r="289">
      <c r="J289" s="105"/>
    </row>
    <row r="290">
      <c r="J290" s="105"/>
    </row>
    <row r="291">
      <c r="J291" s="105"/>
    </row>
    <row r="292">
      <c r="J292" s="105"/>
    </row>
    <row r="293">
      <c r="J293" s="105"/>
    </row>
    <row r="294">
      <c r="J294" s="105"/>
    </row>
    <row r="295">
      <c r="J295" s="105"/>
    </row>
    <row r="296">
      <c r="J296" s="105"/>
    </row>
    <row r="297">
      <c r="J297" s="105"/>
    </row>
    <row r="298">
      <c r="J298" s="105"/>
    </row>
    <row r="299">
      <c r="J299" s="105"/>
    </row>
    <row r="300">
      <c r="J300" s="105"/>
    </row>
    <row r="301">
      <c r="J301" s="105"/>
    </row>
    <row r="302">
      <c r="J302" s="105"/>
    </row>
    <row r="303">
      <c r="J303" s="105"/>
    </row>
    <row r="304">
      <c r="J304" s="105"/>
    </row>
    <row r="305">
      <c r="J305" s="105"/>
    </row>
    <row r="306">
      <c r="J306" s="105"/>
    </row>
    <row r="307">
      <c r="J307" s="105"/>
    </row>
    <row r="308">
      <c r="J308" s="105"/>
    </row>
    <row r="309">
      <c r="J309" s="105"/>
    </row>
    <row r="310">
      <c r="J310" s="105"/>
    </row>
    <row r="311">
      <c r="J311" s="105"/>
    </row>
    <row r="312">
      <c r="J312" s="105"/>
    </row>
    <row r="313">
      <c r="J313" s="105"/>
    </row>
    <row r="314">
      <c r="J314" s="105"/>
    </row>
    <row r="315">
      <c r="J315" s="105"/>
    </row>
    <row r="316">
      <c r="J316" s="105"/>
    </row>
    <row r="317">
      <c r="J317" s="105"/>
    </row>
    <row r="318">
      <c r="J318" s="105"/>
    </row>
    <row r="319">
      <c r="J319" s="105"/>
    </row>
    <row r="320">
      <c r="J320" s="105"/>
    </row>
    <row r="321">
      <c r="J321" s="105"/>
    </row>
    <row r="322">
      <c r="J322" s="105"/>
    </row>
    <row r="323">
      <c r="J323" s="105"/>
    </row>
    <row r="324">
      <c r="J324" s="105"/>
    </row>
    <row r="325">
      <c r="J325" s="105"/>
    </row>
    <row r="326">
      <c r="J326" s="105"/>
    </row>
    <row r="327">
      <c r="J327" s="105"/>
    </row>
    <row r="328">
      <c r="J328" s="105"/>
    </row>
    <row r="329">
      <c r="J329" s="105"/>
    </row>
    <row r="330">
      <c r="J330" s="105"/>
    </row>
    <row r="331">
      <c r="J331" s="105"/>
    </row>
    <row r="332">
      <c r="J332" s="105"/>
    </row>
    <row r="333">
      <c r="J333" s="105"/>
    </row>
    <row r="334">
      <c r="J334" s="105"/>
    </row>
    <row r="335">
      <c r="J335" s="105"/>
    </row>
    <row r="336">
      <c r="J336" s="105"/>
    </row>
    <row r="337">
      <c r="J337" s="105"/>
    </row>
    <row r="338">
      <c r="J338" s="105"/>
    </row>
    <row r="339">
      <c r="J339" s="105"/>
    </row>
    <row r="340">
      <c r="J340" s="105"/>
    </row>
    <row r="341">
      <c r="J341" s="105"/>
    </row>
    <row r="342">
      <c r="J342" s="105"/>
    </row>
    <row r="343">
      <c r="J343" s="105"/>
    </row>
    <row r="344">
      <c r="J344" s="105"/>
    </row>
    <row r="345">
      <c r="J345" s="105"/>
    </row>
    <row r="346">
      <c r="J346" s="105"/>
    </row>
    <row r="347">
      <c r="J347" s="105"/>
    </row>
    <row r="348">
      <c r="J348" s="105"/>
    </row>
    <row r="349">
      <c r="J349" s="105"/>
    </row>
    <row r="350">
      <c r="J350" s="105"/>
    </row>
    <row r="351">
      <c r="J351" s="105"/>
    </row>
    <row r="352">
      <c r="J352" s="105"/>
    </row>
    <row r="353">
      <c r="J353" s="105"/>
    </row>
    <row r="354">
      <c r="J354" s="105"/>
    </row>
    <row r="355">
      <c r="J355" s="105"/>
    </row>
    <row r="356">
      <c r="J356" s="105"/>
    </row>
    <row r="357">
      <c r="J357" s="105"/>
    </row>
    <row r="358">
      <c r="J358" s="105"/>
    </row>
    <row r="359">
      <c r="J359" s="105"/>
    </row>
    <row r="360">
      <c r="J360" s="105"/>
    </row>
    <row r="361">
      <c r="J361" s="105"/>
    </row>
    <row r="362">
      <c r="J362" s="105"/>
    </row>
    <row r="363">
      <c r="J363" s="105"/>
    </row>
    <row r="364">
      <c r="J364" s="105"/>
    </row>
    <row r="365">
      <c r="J365" s="105"/>
    </row>
    <row r="366">
      <c r="J366" s="105"/>
    </row>
    <row r="367">
      <c r="J367" s="105"/>
    </row>
    <row r="368">
      <c r="J368" s="105"/>
    </row>
    <row r="369">
      <c r="J369" s="105"/>
    </row>
    <row r="370">
      <c r="J370" s="105"/>
    </row>
    <row r="371">
      <c r="J371" s="105"/>
    </row>
    <row r="372">
      <c r="J372" s="105"/>
    </row>
    <row r="373">
      <c r="J373" s="105"/>
    </row>
    <row r="374">
      <c r="J374" s="105"/>
    </row>
    <row r="375">
      <c r="J375" s="105"/>
    </row>
    <row r="376">
      <c r="J376" s="105"/>
    </row>
    <row r="377">
      <c r="J377" s="105"/>
    </row>
    <row r="378">
      <c r="J378" s="105"/>
    </row>
    <row r="379">
      <c r="J379" s="105"/>
    </row>
    <row r="380">
      <c r="J380" s="105"/>
    </row>
    <row r="381">
      <c r="J381" s="105"/>
    </row>
    <row r="382">
      <c r="J382" s="105"/>
    </row>
    <row r="383">
      <c r="J383" s="105"/>
    </row>
    <row r="384">
      <c r="J384" s="105"/>
    </row>
    <row r="385">
      <c r="J385" s="105"/>
    </row>
    <row r="386">
      <c r="J386" s="105"/>
    </row>
    <row r="387">
      <c r="J387" s="105"/>
    </row>
    <row r="388">
      <c r="J388" s="105"/>
    </row>
    <row r="389">
      <c r="J389" s="105"/>
    </row>
    <row r="390">
      <c r="J390" s="105"/>
    </row>
    <row r="391">
      <c r="J391" s="105"/>
    </row>
    <row r="392">
      <c r="J392" s="105"/>
    </row>
    <row r="393">
      <c r="J393" s="105"/>
    </row>
    <row r="394">
      <c r="J394" s="105"/>
    </row>
    <row r="395">
      <c r="J395" s="105"/>
    </row>
    <row r="396">
      <c r="J396" s="105"/>
    </row>
    <row r="397">
      <c r="J397" s="105"/>
    </row>
    <row r="398">
      <c r="J398" s="105"/>
    </row>
    <row r="399">
      <c r="J399" s="105"/>
    </row>
    <row r="400">
      <c r="J400" s="105"/>
    </row>
    <row r="401">
      <c r="J401" s="105"/>
    </row>
    <row r="402">
      <c r="J402" s="105"/>
    </row>
    <row r="403">
      <c r="J403" s="105"/>
    </row>
    <row r="404">
      <c r="J404" s="105"/>
    </row>
    <row r="405">
      <c r="J405" s="105"/>
    </row>
    <row r="406">
      <c r="J406" s="105"/>
    </row>
    <row r="407">
      <c r="J407" s="105"/>
    </row>
    <row r="408">
      <c r="J408" s="105"/>
    </row>
    <row r="409">
      <c r="J409" s="105"/>
    </row>
    <row r="410">
      <c r="J410" s="105"/>
    </row>
    <row r="411">
      <c r="J411" s="105"/>
    </row>
    <row r="412">
      <c r="J412" s="105"/>
    </row>
    <row r="413">
      <c r="J413" s="105"/>
    </row>
    <row r="414">
      <c r="J414" s="105"/>
    </row>
    <row r="415">
      <c r="J415" s="105"/>
    </row>
    <row r="416">
      <c r="J416" s="105"/>
    </row>
    <row r="417">
      <c r="J417" s="105"/>
    </row>
    <row r="418">
      <c r="J418" s="105"/>
    </row>
    <row r="419">
      <c r="J419" s="105"/>
    </row>
    <row r="420">
      <c r="J420" s="105"/>
    </row>
    <row r="421">
      <c r="J421" s="105"/>
    </row>
    <row r="422">
      <c r="J422" s="105"/>
    </row>
    <row r="423">
      <c r="J423" s="105"/>
    </row>
    <row r="424">
      <c r="J424" s="105"/>
    </row>
    <row r="425">
      <c r="J425" s="105"/>
    </row>
    <row r="426">
      <c r="J426" s="105"/>
    </row>
    <row r="427">
      <c r="J427" s="105"/>
    </row>
    <row r="428">
      <c r="J428" s="105"/>
    </row>
    <row r="429">
      <c r="J429" s="105"/>
    </row>
    <row r="430">
      <c r="J430" s="105"/>
    </row>
    <row r="431">
      <c r="J431" s="105"/>
    </row>
    <row r="432">
      <c r="J432" s="105"/>
    </row>
    <row r="433">
      <c r="J433" s="105"/>
    </row>
    <row r="434">
      <c r="J434" s="105"/>
    </row>
    <row r="435">
      <c r="J435" s="105"/>
    </row>
    <row r="436">
      <c r="J436" s="105"/>
    </row>
    <row r="437">
      <c r="J437" s="105"/>
    </row>
    <row r="438">
      <c r="J438" s="105"/>
    </row>
    <row r="439">
      <c r="J439" s="105"/>
    </row>
    <row r="440">
      <c r="J440" s="105"/>
    </row>
    <row r="441">
      <c r="J441" s="105"/>
    </row>
    <row r="442">
      <c r="J442" s="105"/>
    </row>
    <row r="443">
      <c r="J443" s="105"/>
    </row>
    <row r="444">
      <c r="J444" s="105"/>
    </row>
    <row r="445">
      <c r="J445" s="105"/>
    </row>
    <row r="446">
      <c r="J446" s="105"/>
    </row>
    <row r="447">
      <c r="J447" s="105"/>
    </row>
    <row r="448">
      <c r="J448" s="105"/>
    </row>
    <row r="449">
      <c r="J449" s="105"/>
    </row>
    <row r="450">
      <c r="J450" s="105"/>
    </row>
    <row r="451">
      <c r="J451" s="105"/>
    </row>
    <row r="452">
      <c r="J452" s="105"/>
    </row>
    <row r="453">
      <c r="J453" s="105"/>
    </row>
    <row r="454">
      <c r="J454" s="105"/>
    </row>
    <row r="455">
      <c r="J455" s="105"/>
    </row>
    <row r="456">
      <c r="J456" s="105"/>
    </row>
    <row r="457">
      <c r="J457" s="105"/>
    </row>
    <row r="458">
      <c r="J458" s="105"/>
    </row>
    <row r="459">
      <c r="J459" s="105"/>
    </row>
    <row r="460">
      <c r="J460" s="105"/>
    </row>
    <row r="461">
      <c r="J461" s="105"/>
    </row>
    <row r="462">
      <c r="J462" s="105"/>
    </row>
    <row r="463">
      <c r="J463" s="105"/>
    </row>
    <row r="464">
      <c r="J464" s="105"/>
    </row>
    <row r="465">
      <c r="J465" s="105"/>
    </row>
    <row r="466">
      <c r="J466" s="105"/>
    </row>
    <row r="467">
      <c r="J467" s="105"/>
    </row>
    <row r="468">
      <c r="J468" s="105"/>
    </row>
    <row r="469">
      <c r="J469" s="105"/>
    </row>
    <row r="470">
      <c r="J470" s="105"/>
    </row>
    <row r="471">
      <c r="J471" s="105"/>
    </row>
    <row r="472">
      <c r="J472" s="105"/>
    </row>
    <row r="473">
      <c r="J473" s="105"/>
    </row>
    <row r="474">
      <c r="J474" s="105"/>
    </row>
    <row r="475">
      <c r="J475" s="105"/>
    </row>
    <row r="476">
      <c r="J476" s="105"/>
    </row>
    <row r="477">
      <c r="J477" s="105"/>
    </row>
    <row r="478">
      <c r="J478" s="105"/>
    </row>
    <row r="479">
      <c r="J479" s="105"/>
    </row>
    <row r="480">
      <c r="J480" s="105"/>
    </row>
    <row r="481">
      <c r="J481" s="105"/>
    </row>
    <row r="482">
      <c r="J482" s="105"/>
    </row>
    <row r="483">
      <c r="J483" s="105"/>
    </row>
    <row r="484">
      <c r="J484" s="105"/>
    </row>
    <row r="485">
      <c r="J485" s="105"/>
    </row>
    <row r="486">
      <c r="J486" s="105"/>
    </row>
    <row r="487">
      <c r="J487" s="105"/>
    </row>
    <row r="488">
      <c r="J488" s="105"/>
    </row>
    <row r="489">
      <c r="J489" s="105"/>
    </row>
    <row r="490">
      <c r="J490" s="105"/>
    </row>
    <row r="491">
      <c r="J491" s="105"/>
    </row>
    <row r="492">
      <c r="J492" s="105"/>
    </row>
    <row r="493">
      <c r="J493" s="105"/>
    </row>
    <row r="494">
      <c r="J494" s="105"/>
    </row>
    <row r="495">
      <c r="J495" s="105"/>
    </row>
    <row r="496">
      <c r="J496" s="105"/>
    </row>
    <row r="497">
      <c r="J497" s="105"/>
    </row>
    <row r="498">
      <c r="J498" s="105"/>
    </row>
    <row r="499">
      <c r="J499" s="105"/>
    </row>
    <row r="500">
      <c r="J500" s="105"/>
    </row>
    <row r="501">
      <c r="J501" s="105"/>
    </row>
    <row r="502">
      <c r="J502" s="105"/>
    </row>
    <row r="503">
      <c r="J503" s="105"/>
    </row>
    <row r="504">
      <c r="J504" s="105"/>
    </row>
    <row r="505">
      <c r="J505" s="105"/>
    </row>
    <row r="506">
      <c r="J506" s="105"/>
    </row>
    <row r="507">
      <c r="J507" s="105"/>
    </row>
    <row r="508">
      <c r="J508" s="105"/>
    </row>
    <row r="509">
      <c r="J509" s="105"/>
    </row>
    <row r="510">
      <c r="J510" s="105"/>
    </row>
    <row r="511">
      <c r="J511" s="105"/>
    </row>
    <row r="512">
      <c r="J512" s="105"/>
    </row>
    <row r="513">
      <c r="J513" s="105"/>
    </row>
    <row r="514">
      <c r="J514" s="105"/>
    </row>
    <row r="515">
      <c r="J515" s="105"/>
    </row>
    <row r="516">
      <c r="J516" s="105"/>
    </row>
    <row r="517">
      <c r="J517" s="105"/>
    </row>
    <row r="518">
      <c r="J518" s="105"/>
    </row>
    <row r="519">
      <c r="J519" s="105"/>
    </row>
    <row r="520">
      <c r="J520" s="105"/>
    </row>
    <row r="521">
      <c r="J521" s="105"/>
    </row>
    <row r="522">
      <c r="J522" s="105"/>
    </row>
    <row r="523">
      <c r="J523" s="105"/>
    </row>
    <row r="524">
      <c r="J524" s="105"/>
    </row>
    <row r="525">
      <c r="J525" s="105"/>
    </row>
    <row r="526">
      <c r="J526" s="105"/>
    </row>
    <row r="527">
      <c r="J527" s="105"/>
    </row>
    <row r="528">
      <c r="J528" s="105"/>
    </row>
    <row r="529">
      <c r="J529" s="105"/>
    </row>
    <row r="530">
      <c r="J530" s="105"/>
    </row>
    <row r="531">
      <c r="J531" s="105"/>
    </row>
    <row r="532">
      <c r="J532" s="105"/>
    </row>
    <row r="533">
      <c r="J533" s="105"/>
    </row>
    <row r="534">
      <c r="J534" s="105"/>
    </row>
    <row r="535">
      <c r="J535" s="105"/>
    </row>
    <row r="536">
      <c r="J536" s="105"/>
    </row>
    <row r="537">
      <c r="J537" s="105"/>
    </row>
    <row r="538">
      <c r="J538" s="105"/>
    </row>
    <row r="539">
      <c r="J539" s="105"/>
    </row>
    <row r="540">
      <c r="J540" s="105"/>
    </row>
    <row r="541">
      <c r="J541" s="105"/>
    </row>
    <row r="542">
      <c r="J542" s="105"/>
    </row>
    <row r="543">
      <c r="J543" s="105"/>
    </row>
    <row r="544">
      <c r="J544" s="105"/>
    </row>
    <row r="545">
      <c r="J545" s="105"/>
    </row>
    <row r="546">
      <c r="J546" s="105"/>
    </row>
    <row r="547">
      <c r="J547" s="105"/>
    </row>
    <row r="548">
      <c r="J548" s="105"/>
    </row>
    <row r="549">
      <c r="J549" s="105"/>
    </row>
    <row r="550">
      <c r="J550" s="105"/>
    </row>
    <row r="551">
      <c r="J551" s="105"/>
    </row>
    <row r="552">
      <c r="J552" s="105"/>
    </row>
    <row r="553">
      <c r="J553" s="105"/>
    </row>
    <row r="554">
      <c r="J554" s="105"/>
    </row>
    <row r="555">
      <c r="J555" s="105"/>
    </row>
    <row r="556">
      <c r="J556" s="105"/>
    </row>
    <row r="557">
      <c r="J557" s="105"/>
    </row>
    <row r="558">
      <c r="J558" s="105"/>
    </row>
    <row r="559">
      <c r="J559" s="105"/>
    </row>
    <row r="560">
      <c r="J560" s="105"/>
    </row>
    <row r="561">
      <c r="J561" s="105"/>
    </row>
    <row r="562">
      <c r="J562" s="105"/>
    </row>
    <row r="563">
      <c r="J563" s="105"/>
    </row>
    <row r="564">
      <c r="J564" s="105"/>
    </row>
    <row r="565">
      <c r="J565" s="105"/>
    </row>
    <row r="566">
      <c r="J566" s="105"/>
    </row>
    <row r="567">
      <c r="J567" s="105"/>
    </row>
    <row r="568">
      <c r="J568" s="105"/>
    </row>
    <row r="569">
      <c r="J569" s="105"/>
    </row>
    <row r="570">
      <c r="J570" s="105"/>
    </row>
    <row r="571">
      <c r="J571" s="105"/>
    </row>
    <row r="572">
      <c r="J572" s="105"/>
    </row>
    <row r="573">
      <c r="J573" s="105"/>
    </row>
    <row r="574">
      <c r="J574" s="105"/>
    </row>
    <row r="575">
      <c r="J575" s="105"/>
    </row>
    <row r="576">
      <c r="J576" s="105"/>
    </row>
    <row r="577">
      <c r="J577" s="105"/>
    </row>
    <row r="578">
      <c r="J578" s="105"/>
    </row>
    <row r="579">
      <c r="J579" s="105"/>
    </row>
    <row r="580">
      <c r="J580" s="105"/>
    </row>
    <row r="581">
      <c r="J581" s="105"/>
    </row>
    <row r="582">
      <c r="J582" s="105"/>
    </row>
    <row r="583">
      <c r="J583" s="105"/>
    </row>
    <row r="584">
      <c r="J584" s="105"/>
    </row>
    <row r="585">
      <c r="J585" s="105"/>
    </row>
    <row r="586">
      <c r="J586" s="105"/>
    </row>
    <row r="587">
      <c r="J587" s="105"/>
    </row>
    <row r="588">
      <c r="J588" s="105"/>
    </row>
    <row r="589">
      <c r="J589" s="105"/>
    </row>
    <row r="590">
      <c r="J590" s="105"/>
    </row>
  </sheetData>
  <autoFilter ref="$A$29:$Y$220"/>
  <customSheetViews>
    <customSheetView guid="{7E2DC08E-42AC-43D8-8C70-258D8904AA44}" filter="1" showAutoFilter="1">
      <autoFilter ref="$A$29:$J$220"/>
    </customSheetView>
    <customSheetView guid="{337816CC-850F-4D8A-9A21-5D6FA7C66D79}" filter="1" showAutoFilter="1">
      <autoFilter ref="$A$29:$J$220"/>
    </customSheetView>
  </customSheetView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2.88"/>
    <col customWidth="1" min="2" max="2" width="15.38"/>
    <col customWidth="1" min="3" max="3" width="35.25"/>
    <col customWidth="1" min="4" max="4" width="26.38"/>
    <col customWidth="1" min="5" max="6" width="23.63"/>
    <col customWidth="1" min="7" max="7" width="23.0"/>
    <col customWidth="1" min="8" max="8" width="28.88"/>
    <col customWidth="1" min="9" max="9" width="29.25"/>
    <col customWidth="1" min="10" max="12" width="26.63"/>
    <col customWidth="1" min="13" max="13" width="25.63"/>
    <col customWidth="1" min="15" max="15" width="38.25"/>
    <col customWidth="1" min="16" max="16" width="24.88"/>
  </cols>
  <sheetData>
    <row r="1">
      <c r="A1" s="2" t="s">
        <v>340</v>
      </c>
      <c r="I1" s="12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106"/>
      <c r="D2" s="6"/>
      <c r="E2" s="6"/>
      <c r="F2" s="6"/>
      <c r="G2" s="5"/>
      <c r="H2" s="5"/>
      <c r="I2" s="12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3</v>
      </c>
      <c r="B3" s="9" t="s">
        <v>315</v>
      </c>
      <c r="C3" s="108" t="s">
        <v>6</v>
      </c>
      <c r="D3" s="127" t="s">
        <v>16</v>
      </c>
      <c r="E3" s="15" t="s">
        <v>11</v>
      </c>
      <c r="F3" s="109" t="s">
        <v>316</v>
      </c>
      <c r="G3" s="109" t="s">
        <v>317</v>
      </c>
      <c r="H3" s="3"/>
      <c r="I3" s="12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98" t="s">
        <v>13</v>
      </c>
      <c r="B4" s="98"/>
      <c r="C4" s="98"/>
      <c r="D4" s="111"/>
      <c r="E4" s="111">
        <f t="shared" ref="E4:E22" si="1">B4+C4+D4</f>
        <v>0</v>
      </c>
      <c r="F4" s="128"/>
      <c r="G4" s="129"/>
      <c r="I4" s="125"/>
    </row>
    <row r="5">
      <c r="A5" s="98" t="s">
        <v>110</v>
      </c>
      <c r="B5" s="98"/>
      <c r="C5" s="98"/>
      <c r="D5" s="111"/>
      <c r="E5" s="111">
        <f t="shared" si="1"/>
        <v>0</v>
      </c>
      <c r="F5" s="128"/>
      <c r="G5" s="129"/>
      <c r="I5" s="125"/>
    </row>
    <row r="6">
      <c r="A6" s="98" t="s">
        <v>112</v>
      </c>
      <c r="B6" s="98"/>
      <c r="C6" s="98"/>
      <c r="D6" s="111"/>
      <c r="E6" s="111">
        <f t="shared" si="1"/>
        <v>0</v>
      </c>
      <c r="F6" s="128"/>
      <c r="G6" s="129"/>
      <c r="I6" s="125"/>
    </row>
    <row r="7">
      <c r="A7" s="98" t="s">
        <v>116</v>
      </c>
      <c r="B7" s="98"/>
      <c r="C7" s="98"/>
      <c r="D7" s="111"/>
      <c r="E7" s="111">
        <f t="shared" si="1"/>
        <v>0</v>
      </c>
      <c r="F7" s="128"/>
      <c r="G7" s="129"/>
      <c r="I7" s="125"/>
    </row>
    <row r="8">
      <c r="A8" s="98" t="s">
        <v>308</v>
      </c>
      <c r="B8" s="98"/>
      <c r="C8" s="98"/>
      <c r="D8" s="111"/>
      <c r="E8" s="111">
        <f t="shared" si="1"/>
        <v>0</v>
      </c>
      <c r="F8" s="111"/>
      <c r="G8" s="111"/>
      <c r="I8" s="125"/>
    </row>
    <row r="9">
      <c r="A9" s="98" t="s">
        <v>133</v>
      </c>
      <c r="B9" s="98"/>
      <c r="C9" s="98"/>
      <c r="D9" s="111"/>
      <c r="E9" s="111">
        <f t="shared" si="1"/>
        <v>0</v>
      </c>
      <c r="F9" s="128"/>
      <c r="G9" s="129"/>
      <c r="I9" s="125"/>
    </row>
    <row r="10">
      <c r="A10" s="98" t="s">
        <v>126</v>
      </c>
      <c r="B10" s="98"/>
      <c r="C10" s="98"/>
      <c r="D10" s="48"/>
      <c r="E10" s="111">
        <f t="shared" si="1"/>
        <v>0</v>
      </c>
      <c r="F10" s="128"/>
      <c r="G10" s="129"/>
      <c r="I10" s="125"/>
    </row>
    <row r="11">
      <c r="A11" s="98" t="s">
        <v>143</v>
      </c>
      <c r="B11" s="98"/>
      <c r="C11" s="98"/>
      <c r="D11" s="48"/>
      <c r="E11" s="111">
        <f t="shared" si="1"/>
        <v>0</v>
      </c>
      <c r="F11" s="111"/>
      <c r="G11" s="129"/>
      <c r="I11" s="125"/>
    </row>
    <row r="12">
      <c r="A12" s="94" t="s">
        <v>150</v>
      </c>
      <c r="B12" s="98"/>
      <c r="C12" s="94"/>
      <c r="D12" s="48"/>
      <c r="E12" s="111">
        <f t="shared" si="1"/>
        <v>0</v>
      </c>
      <c r="F12" s="128"/>
      <c r="G12" s="129"/>
      <c r="I12" s="125"/>
    </row>
    <row r="13">
      <c r="A13" s="98" t="s">
        <v>152</v>
      </c>
      <c r="B13" s="98"/>
      <c r="C13" s="98"/>
      <c r="D13" s="48"/>
      <c r="E13" s="111">
        <f t="shared" si="1"/>
        <v>0</v>
      </c>
      <c r="F13" s="128"/>
      <c r="G13" s="129"/>
      <c r="I13" s="125"/>
    </row>
    <row r="14">
      <c r="A14" s="98" t="s">
        <v>81</v>
      </c>
      <c r="B14" s="98"/>
      <c r="C14" s="98"/>
      <c r="D14" s="48"/>
      <c r="E14" s="111">
        <f t="shared" si="1"/>
        <v>0</v>
      </c>
      <c r="F14" s="128"/>
      <c r="G14" s="129"/>
      <c r="I14" s="125"/>
    </row>
    <row r="15">
      <c r="A15" s="98" t="s">
        <v>176</v>
      </c>
      <c r="B15" s="98"/>
      <c r="C15" s="98"/>
      <c r="D15" s="98"/>
      <c r="E15" s="111">
        <f t="shared" si="1"/>
        <v>0</v>
      </c>
      <c r="F15" s="128"/>
      <c r="G15" s="129"/>
      <c r="I15" s="125"/>
    </row>
    <row r="16">
      <c r="A16" s="98" t="s">
        <v>96</v>
      </c>
      <c r="B16" s="98"/>
      <c r="C16" s="98"/>
      <c r="D16" s="111"/>
      <c r="E16" s="111">
        <f t="shared" si="1"/>
        <v>0</v>
      </c>
      <c r="F16" s="128"/>
      <c r="G16" s="129"/>
      <c r="I16" s="125"/>
    </row>
    <row r="17">
      <c r="A17" s="98" t="s">
        <v>312</v>
      </c>
      <c r="B17" s="98"/>
      <c r="C17" s="98"/>
      <c r="D17" s="111"/>
      <c r="E17" s="111">
        <f t="shared" si="1"/>
        <v>0</v>
      </c>
      <c r="F17" s="111"/>
      <c r="G17" s="129"/>
      <c r="I17" s="125"/>
    </row>
    <row r="18">
      <c r="A18" s="98" t="s">
        <v>285</v>
      </c>
      <c r="B18" s="98"/>
      <c r="C18" s="98"/>
      <c r="D18" s="48"/>
      <c r="E18" s="111">
        <f t="shared" si="1"/>
        <v>0</v>
      </c>
      <c r="F18" s="128"/>
      <c r="G18" s="129"/>
      <c r="I18" s="125"/>
    </row>
    <row r="19">
      <c r="A19" s="98" t="s">
        <v>88</v>
      </c>
      <c r="B19" s="98"/>
      <c r="C19" s="98"/>
      <c r="D19" s="111"/>
      <c r="E19" s="111">
        <f t="shared" si="1"/>
        <v>0</v>
      </c>
      <c r="F19" s="111"/>
      <c r="G19" s="129"/>
      <c r="I19" s="125"/>
    </row>
    <row r="20">
      <c r="A20" s="98" t="s">
        <v>269</v>
      </c>
      <c r="B20" s="98"/>
      <c r="C20" s="98"/>
      <c r="D20" s="48"/>
      <c r="E20" s="111">
        <f t="shared" si="1"/>
        <v>0</v>
      </c>
      <c r="F20" s="128"/>
      <c r="G20" s="129"/>
      <c r="I20" s="125"/>
    </row>
    <row r="21">
      <c r="A21" s="98" t="s">
        <v>271</v>
      </c>
      <c r="B21" s="98"/>
      <c r="C21" s="98"/>
      <c r="D21" s="48"/>
      <c r="E21" s="111">
        <f t="shared" si="1"/>
        <v>0</v>
      </c>
      <c r="F21" s="128"/>
      <c r="G21" s="129"/>
      <c r="I21" s="125"/>
    </row>
    <row r="22">
      <c r="A22" s="98" t="s">
        <v>313</v>
      </c>
      <c r="B22" s="98"/>
      <c r="C22" s="98"/>
      <c r="D22" s="48"/>
      <c r="E22" s="111">
        <f t="shared" si="1"/>
        <v>0</v>
      </c>
      <c r="F22" s="111"/>
      <c r="G22" s="98"/>
      <c r="I22" s="125"/>
    </row>
    <row r="23">
      <c r="A23" s="46" t="s">
        <v>11</v>
      </c>
      <c r="B23" s="111">
        <f t="shared" ref="B23:G23" si="2">SUM(B4:B22)</f>
        <v>0</v>
      </c>
      <c r="C23" s="111">
        <f t="shared" si="2"/>
        <v>0</v>
      </c>
      <c r="D23" s="111">
        <f t="shared" si="2"/>
        <v>0</v>
      </c>
      <c r="E23" s="111">
        <f t="shared" si="2"/>
        <v>0</v>
      </c>
      <c r="F23" s="48">
        <f t="shared" si="2"/>
        <v>0</v>
      </c>
      <c r="G23" s="118">
        <f t="shared" si="2"/>
        <v>0</v>
      </c>
      <c r="I23" s="125"/>
    </row>
    <row r="24">
      <c r="I24" s="125"/>
    </row>
    <row r="25">
      <c r="I25" s="125"/>
    </row>
    <row r="26">
      <c r="I26" s="125"/>
    </row>
    <row r="27">
      <c r="I27" s="125"/>
    </row>
    <row r="28">
      <c r="I28" s="125"/>
    </row>
    <row r="29" ht="20.25" customHeight="1">
      <c r="A29" s="49" t="s">
        <v>50</v>
      </c>
      <c r="B29" s="49" t="s">
        <v>51</v>
      </c>
      <c r="C29" s="49" t="s">
        <v>52</v>
      </c>
      <c r="D29" s="49" t="s">
        <v>53</v>
      </c>
      <c r="E29" s="50" t="s">
        <v>54</v>
      </c>
      <c r="F29" s="49" t="s">
        <v>55</v>
      </c>
      <c r="G29" s="49" t="s">
        <v>56</v>
      </c>
      <c r="H29" s="49" t="s">
        <v>320</v>
      </c>
      <c r="I29" s="130" t="s">
        <v>321</v>
      </c>
    </row>
    <row r="30">
      <c r="A30" s="20"/>
      <c r="B30" s="20"/>
      <c r="C30" s="20"/>
      <c r="D30" s="20"/>
      <c r="E30" s="20"/>
      <c r="F30" s="20"/>
      <c r="G30" s="20"/>
      <c r="H30" s="20"/>
      <c r="I30" s="131"/>
      <c r="J30" s="132"/>
      <c r="K30" s="132"/>
    </row>
    <row r="31">
      <c r="A31" s="20"/>
      <c r="B31" s="20"/>
      <c r="C31" s="20"/>
      <c r="D31" s="20"/>
      <c r="E31" s="20"/>
      <c r="F31" s="20"/>
      <c r="G31" s="20"/>
      <c r="H31" s="20"/>
      <c r="I31" s="131"/>
      <c r="J31" s="132"/>
      <c r="K31" s="132"/>
    </row>
    <row r="32">
      <c r="A32" s="20"/>
      <c r="B32" s="20"/>
      <c r="C32" s="20"/>
      <c r="D32" s="20"/>
      <c r="E32" s="20"/>
      <c r="F32" s="20"/>
      <c r="G32" s="20"/>
      <c r="H32" s="20"/>
      <c r="I32" s="131"/>
      <c r="J32" s="132"/>
      <c r="K32" s="132"/>
    </row>
    <row r="33">
      <c r="A33" s="20"/>
      <c r="B33" s="20"/>
      <c r="C33" s="20"/>
      <c r="D33" s="20"/>
      <c r="E33" s="20"/>
      <c r="F33" s="20"/>
      <c r="G33" s="20"/>
      <c r="H33" s="20"/>
      <c r="I33" s="131"/>
      <c r="J33" s="132"/>
      <c r="K33" s="132"/>
    </row>
    <row r="34">
      <c r="A34" s="20"/>
      <c r="B34" s="20"/>
      <c r="C34" s="20"/>
      <c r="D34" s="20"/>
      <c r="E34" s="20"/>
      <c r="F34" s="20"/>
      <c r="G34" s="20"/>
      <c r="H34" s="20"/>
      <c r="I34" s="131"/>
      <c r="J34" s="132"/>
      <c r="K34" s="132"/>
    </row>
    <row r="35">
      <c r="A35" s="20"/>
      <c r="B35" s="20"/>
      <c r="C35" s="20"/>
      <c r="D35" s="20"/>
      <c r="E35" s="20"/>
      <c r="F35" s="20"/>
      <c r="G35" s="20"/>
      <c r="H35" s="20"/>
      <c r="I35" s="131"/>
      <c r="J35" s="132"/>
      <c r="K35" s="132"/>
    </row>
    <row r="36">
      <c r="A36" s="20"/>
      <c r="B36" s="20"/>
      <c r="C36" s="20"/>
      <c r="D36" s="20"/>
      <c r="E36" s="20"/>
      <c r="F36" s="20"/>
      <c r="G36" s="20"/>
      <c r="H36" s="20"/>
      <c r="I36" s="131"/>
      <c r="J36" s="132"/>
      <c r="K36" s="132"/>
    </row>
    <row r="37">
      <c r="A37" s="20"/>
      <c r="B37" s="20"/>
      <c r="C37" s="20"/>
      <c r="D37" s="20"/>
      <c r="E37" s="20"/>
      <c r="F37" s="20"/>
      <c r="G37" s="20"/>
      <c r="H37" s="20"/>
      <c r="I37" s="131"/>
      <c r="J37" s="132"/>
      <c r="K37" s="132"/>
    </row>
    <row r="38">
      <c r="A38" s="20"/>
      <c r="B38" s="20"/>
      <c r="C38" s="20"/>
      <c r="D38" s="20"/>
      <c r="E38" s="20"/>
      <c r="F38" s="20"/>
      <c r="G38" s="20"/>
      <c r="H38" s="20"/>
      <c r="I38" s="131"/>
      <c r="J38" s="132"/>
      <c r="K38" s="132"/>
    </row>
    <row r="39">
      <c r="A39" s="20"/>
      <c r="B39" s="20"/>
      <c r="C39" s="20"/>
      <c r="D39" s="20"/>
      <c r="E39" s="20"/>
      <c r="F39" s="20"/>
      <c r="G39" s="20"/>
      <c r="H39" s="20"/>
      <c r="I39" s="131"/>
      <c r="J39" s="132"/>
      <c r="K39" s="132"/>
    </row>
    <row r="40">
      <c r="A40" s="20"/>
      <c r="B40" s="20"/>
      <c r="C40" s="20"/>
      <c r="D40" s="20"/>
      <c r="E40" s="20"/>
      <c r="F40" s="20"/>
      <c r="G40" s="20"/>
      <c r="H40" s="20"/>
      <c r="I40" s="131"/>
      <c r="J40" s="132"/>
      <c r="K40" s="132"/>
    </row>
    <row r="41">
      <c r="A41" s="20"/>
      <c r="B41" s="20"/>
      <c r="C41" s="20"/>
      <c r="D41" s="20"/>
      <c r="E41" s="20"/>
      <c r="F41" s="20"/>
      <c r="G41" s="20"/>
      <c r="H41" s="20"/>
      <c r="I41" s="131"/>
      <c r="J41" s="132"/>
      <c r="K41" s="132"/>
    </row>
    <row r="42">
      <c r="A42" s="20"/>
      <c r="B42" s="20"/>
      <c r="C42" s="20"/>
      <c r="D42" s="20"/>
      <c r="E42" s="20"/>
      <c r="F42" s="20"/>
      <c r="G42" s="20"/>
      <c r="H42" s="20"/>
      <c r="I42" s="131"/>
      <c r="J42" s="132"/>
      <c r="K42" s="132"/>
    </row>
    <row r="43">
      <c r="A43" s="20"/>
      <c r="B43" s="20"/>
      <c r="C43" s="20"/>
      <c r="D43" s="20"/>
      <c r="E43" s="20"/>
      <c r="F43" s="20"/>
      <c r="G43" s="20"/>
      <c r="H43" s="20"/>
      <c r="I43" s="131"/>
      <c r="J43" s="132"/>
      <c r="K43" s="132"/>
    </row>
    <row r="44">
      <c r="A44" s="20"/>
      <c r="B44" s="20"/>
      <c r="C44" s="20"/>
      <c r="D44" s="20"/>
      <c r="E44" s="20"/>
      <c r="F44" s="20"/>
      <c r="G44" s="20"/>
      <c r="H44" s="20"/>
      <c r="I44" s="131"/>
      <c r="J44" s="132"/>
      <c r="K44" s="132"/>
    </row>
    <row r="45">
      <c r="A45" s="20"/>
      <c r="B45" s="20"/>
      <c r="C45" s="20"/>
      <c r="D45" s="20"/>
      <c r="E45" s="20"/>
      <c r="F45" s="20"/>
      <c r="G45" s="20"/>
      <c r="H45" s="20"/>
      <c r="I45" s="131"/>
      <c r="J45" s="132"/>
      <c r="K45" s="132"/>
    </row>
    <row r="46">
      <c r="A46" s="20"/>
      <c r="B46" s="20"/>
      <c r="C46" s="20"/>
      <c r="D46" s="20"/>
      <c r="E46" s="20"/>
      <c r="F46" s="20"/>
      <c r="G46" s="20"/>
      <c r="H46" s="20"/>
      <c r="I46" s="131"/>
      <c r="J46" s="132"/>
      <c r="K46" s="132"/>
    </row>
    <row r="47">
      <c r="A47" s="20"/>
      <c r="B47" s="20"/>
      <c r="C47" s="20"/>
      <c r="D47" s="20"/>
      <c r="E47" s="20"/>
      <c r="F47" s="20"/>
      <c r="G47" s="20"/>
      <c r="H47" s="20"/>
      <c r="I47" s="131"/>
      <c r="J47" s="132"/>
      <c r="K47" s="132"/>
    </row>
    <row r="48">
      <c r="A48" s="20"/>
      <c r="B48" s="20"/>
      <c r="C48" s="20"/>
      <c r="D48" s="20"/>
      <c r="E48" s="20"/>
      <c r="F48" s="20"/>
      <c r="G48" s="20"/>
      <c r="H48" s="20"/>
      <c r="I48" s="131"/>
      <c r="J48" s="132"/>
      <c r="K48" s="132"/>
    </row>
    <row r="49">
      <c r="A49" s="20"/>
      <c r="B49" s="20"/>
      <c r="C49" s="20"/>
      <c r="D49" s="20"/>
      <c r="E49" s="20"/>
      <c r="F49" s="20"/>
      <c r="G49" s="20"/>
      <c r="H49" s="20"/>
      <c r="I49" s="131"/>
      <c r="J49" s="132"/>
      <c r="K49" s="132"/>
    </row>
    <row r="50">
      <c r="A50" s="20"/>
      <c r="B50" s="20"/>
      <c r="C50" s="20"/>
      <c r="D50" s="20"/>
      <c r="E50" s="20"/>
      <c r="F50" s="20"/>
      <c r="G50" s="20"/>
      <c r="H50" s="20"/>
      <c r="I50" s="131"/>
      <c r="J50" s="132"/>
      <c r="K50" s="132"/>
    </row>
    <row r="51">
      <c r="A51" s="20"/>
      <c r="B51" s="20"/>
      <c r="C51" s="20"/>
      <c r="D51" s="20"/>
      <c r="E51" s="20"/>
      <c r="F51" s="20"/>
      <c r="G51" s="20"/>
      <c r="H51" s="20"/>
      <c r="I51" s="131"/>
      <c r="J51" s="132"/>
      <c r="K51" s="132"/>
    </row>
    <row r="52">
      <c r="A52" s="20"/>
      <c r="B52" s="20"/>
      <c r="C52" s="20"/>
      <c r="D52" s="20"/>
      <c r="E52" s="20"/>
      <c r="F52" s="20"/>
      <c r="G52" s="20"/>
      <c r="H52" s="20"/>
      <c r="I52" s="131"/>
      <c r="J52" s="132"/>
      <c r="K52" s="132"/>
    </row>
    <row r="53">
      <c r="A53" s="20"/>
      <c r="B53" s="20"/>
      <c r="C53" s="20"/>
      <c r="D53" s="20"/>
      <c r="E53" s="20"/>
      <c r="F53" s="20"/>
      <c r="G53" s="20"/>
      <c r="H53" s="20"/>
      <c r="I53" s="131"/>
      <c r="J53" s="132"/>
      <c r="K53" s="132"/>
    </row>
    <row r="54">
      <c r="A54" s="20"/>
      <c r="B54" s="20"/>
      <c r="C54" s="20"/>
      <c r="D54" s="20"/>
      <c r="E54" s="20"/>
      <c r="F54" s="20"/>
      <c r="G54" s="20"/>
      <c r="H54" s="20"/>
      <c r="I54" s="131"/>
      <c r="J54" s="132"/>
      <c r="K54" s="132"/>
    </row>
    <row r="55">
      <c r="A55" s="20"/>
      <c r="B55" s="20"/>
      <c r="C55" s="20"/>
      <c r="D55" s="20"/>
      <c r="E55" s="20"/>
      <c r="F55" s="20"/>
      <c r="G55" s="20"/>
      <c r="H55" s="20"/>
      <c r="I55" s="131"/>
      <c r="J55" s="132"/>
      <c r="K55" s="132"/>
    </row>
    <row r="56">
      <c r="A56" s="20"/>
      <c r="B56" s="20"/>
      <c r="C56" s="20"/>
      <c r="D56" s="20"/>
      <c r="E56" s="20"/>
      <c r="F56" s="20"/>
      <c r="G56" s="20"/>
      <c r="H56" s="20"/>
      <c r="I56" s="131"/>
      <c r="J56" s="132"/>
      <c r="K56" s="132"/>
    </row>
    <row r="57">
      <c r="A57" s="20"/>
      <c r="B57" s="20"/>
      <c r="C57" s="20"/>
      <c r="D57" s="20"/>
      <c r="E57" s="20"/>
      <c r="F57" s="20"/>
      <c r="G57" s="20"/>
      <c r="H57" s="20"/>
      <c r="I57" s="131"/>
      <c r="J57" s="132"/>
      <c r="K57" s="132"/>
    </row>
    <row r="58">
      <c r="A58" s="20"/>
      <c r="B58" s="20"/>
      <c r="C58" s="20"/>
      <c r="D58" s="20"/>
      <c r="E58" s="20"/>
      <c r="F58" s="20"/>
      <c r="G58" s="20"/>
      <c r="H58" s="20"/>
      <c r="I58" s="131"/>
      <c r="J58" s="132"/>
      <c r="K58" s="132"/>
    </row>
    <row r="59">
      <c r="A59" s="20"/>
      <c r="B59" s="20"/>
      <c r="C59" s="20"/>
      <c r="D59" s="20"/>
      <c r="E59" s="20"/>
      <c r="F59" s="20"/>
      <c r="G59" s="20"/>
      <c r="H59" s="20"/>
      <c r="I59" s="131"/>
      <c r="J59" s="132"/>
      <c r="K59" s="132"/>
    </row>
    <row r="60">
      <c r="A60" s="20"/>
      <c r="B60" s="20"/>
      <c r="C60" s="20"/>
      <c r="D60" s="20"/>
      <c r="E60" s="20"/>
      <c r="F60" s="20"/>
      <c r="G60" s="20"/>
      <c r="H60" s="20"/>
      <c r="I60" s="131"/>
      <c r="J60" s="132"/>
      <c r="K60" s="132"/>
    </row>
    <row r="61">
      <c r="A61" s="20"/>
      <c r="B61" s="20"/>
      <c r="C61" s="20"/>
      <c r="D61" s="20"/>
      <c r="E61" s="20"/>
      <c r="F61" s="20"/>
      <c r="G61" s="20"/>
      <c r="H61" s="20"/>
      <c r="I61" s="131"/>
      <c r="J61" s="132"/>
      <c r="K61" s="132"/>
    </row>
    <row r="62">
      <c r="A62" s="20"/>
      <c r="B62" s="20"/>
      <c r="C62" s="20"/>
      <c r="D62" s="20"/>
      <c r="E62" s="20"/>
      <c r="F62" s="20"/>
      <c r="G62" s="20"/>
      <c r="H62" s="20"/>
      <c r="I62" s="131"/>
      <c r="J62" s="132"/>
      <c r="K62" s="132"/>
    </row>
    <row r="63">
      <c r="A63" s="20"/>
      <c r="B63" s="20"/>
      <c r="C63" s="20"/>
      <c r="D63" s="20"/>
      <c r="E63" s="20"/>
      <c r="F63" s="20"/>
      <c r="G63" s="20"/>
      <c r="H63" s="20"/>
      <c r="I63" s="131"/>
      <c r="J63" s="132"/>
      <c r="K63" s="132"/>
    </row>
    <row r="64">
      <c r="A64" s="20"/>
      <c r="B64" s="20"/>
      <c r="C64" s="20"/>
      <c r="D64" s="20"/>
      <c r="E64" s="20"/>
      <c r="F64" s="20"/>
      <c r="G64" s="20"/>
      <c r="H64" s="20"/>
      <c r="I64" s="131"/>
      <c r="J64" s="132"/>
      <c r="K64" s="132"/>
    </row>
    <row r="65">
      <c r="A65" s="20"/>
      <c r="B65" s="20"/>
      <c r="C65" s="20"/>
      <c r="D65" s="20"/>
      <c r="E65" s="20"/>
      <c r="F65" s="20"/>
      <c r="G65" s="20"/>
      <c r="H65" s="20"/>
      <c r="I65" s="131"/>
      <c r="J65" s="132"/>
      <c r="K65" s="132"/>
    </row>
    <row r="66">
      <c r="A66" s="20"/>
      <c r="B66" s="20"/>
      <c r="C66" s="20"/>
      <c r="D66" s="20"/>
      <c r="E66" s="20"/>
      <c r="F66" s="20"/>
      <c r="G66" s="20"/>
      <c r="H66" s="20"/>
      <c r="I66" s="131"/>
      <c r="J66" s="132"/>
      <c r="K66" s="132"/>
    </row>
    <row r="67">
      <c r="A67" s="20"/>
      <c r="B67" s="20"/>
      <c r="C67" s="20"/>
      <c r="D67" s="20"/>
      <c r="E67" s="20"/>
      <c r="F67" s="20"/>
      <c r="G67" s="20"/>
      <c r="H67" s="20"/>
      <c r="I67" s="131"/>
      <c r="J67" s="132"/>
      <c r="K67" s="132"/>
    </row>
    <row r="68">
      <c r="A68" s="20"/>
      <c r="B68" s="20"/>
      <c r="C68" s="20"/>
      <c r="D68" s="20"/>
      <c r="E68" s="20"/>
      <c r="F68" s="20"/>
      <c r="G68" s="20"/>
      <c r="H68" s="20"/>
      <c r="I68" s="131"/>
      <c r="J68" s="132"/>
      <c r="K68" s="132"/>
    </row>
    <row r="69">
      <c r="A69" s="20"/>
      <c r="B69" s="20"/>
      <c r="C69" s="20"/>
      <c r="D69" s="20"/>
      <c r="E69" s="20"/>
      <c r="F69" s="20"/>
      <c r="G69" s="20"/>
      <c r="H69" s="20"/>
      <c r="I69" s="131"/>
      <c r="J69" s="132"/>
      <c r="K69" s="132"/>
    </row>
    <row r="70">
      <c r="A70" s="20"/>
      <c r="B70" s="20"/>
      <c r="C70" s="20"/>
      <c r="D70" s="20"/>
      <c r="E70" s="20"/>
      <c r="F70" s="20"/>
      <c r="G70" s="20"/>
      <c r="H70" s="20"/>
      <c r="I70" s="131"/>
      <c r="J70" s="132"/>
      <c r="K70" s="132"/>
    </row>
    <row r="71">
      <c r="A71" s="20"/>
      <c r="B71" s="20"/>
      <c r="C71" s="20"/>
      <c r="D71" s="20"/>
      <c r="E71" s="20"/>
      <c r="F71" s="20"/>
      <c r="G71" s="20"/>
      <c r="H71" s="20"/>
      <c r="I71" s="131"/>
      <c r="J71" s="132"/>
      <c r="K71" s="132"/>
    </row>
    <row r="72">
      <c r="A72" s="20"/>
      <c r="B72" s="20"/>
      <c r="C72" s="20"/>
      <c r="D72" s="20"/>
      <c r="E72" s="20"/>
      <c r="F72" s="20"/>
      <c r="G72" s="20"/>
      <c r="H72" s="20"/>
      <c r="I72" s="131"/>
      <c r="J72" s="132"/>
      <c r="K72" s="132"/>
    </row>
    <row r="73">
      <c r="A73" s="20"/>
      <c r="B73" s="20"/>
      <c r="C73" s="20"/>
      <c r="D73" s="20"/>
      <c r="E73" s="20"/>
      <c r="F73" s="20"/>
      <c r="G73" s="20"/>
      <c r="H73" s="20"/>
      <c r="I73" s="131"/>
      <c r="J73" s="132"/>
      <c r="K73" s="132"/>
    </row>
    <row r="74">
      <c r="A74" s="20"/>
      <c r="B74" s="20"/>
      <c r="C74" s="20"/>
      <c r="D74" s="20"/>
      <c r="E74" s="20"/>
      <c r="F74" s="20"/>
      <c r="G74" s="20"/>
      <c r="H74" s="20"/>
      <c r="I74" s="131"/>
      <c r="J74" s="132"/>
      <c r="K74" s="132"/>
    </row>
    <row r="75">
      <c r="A75" s="20"/>
      <c r="B75" s="20"/>
      <c r="C75" s="20"/>
      <c r="D75" s="20"/>
      <c r="E75" s="20"/>
      <c r="F75" s="20"/>
      <c r="G75" s="20"/>
      <c r="H75" s="20"/>
      <c r="I75" s="131"/>
      <c r="J75" s="132"/>
      <c r="K75" s="132"/>
    </row>
    <row r="76">
      <c r="A76" s="20"/>
      <c r="B76" s="20"/>
      <c r="C76" s="20"/>
      <c r="D76" s="20"/>
      <c r="E76" s="20"/>
      <c r="F76" s="20"/>
      <c r="G76" s="20"/>
      <c r="H76" s="20"/>
      <c r="I76" s="131"/>
      <c r="J76" s="132"/>
      <c r="K76" s="132"/>
    </row>
    <row r="77">
      <c r="A77" s="20"/>
      <c r="B77" s="20"/>
      <c r="C77" s="20"/>
      <c r="D77" s="20"/>
      <c r="E77" s="20"/>
      <c r="F77" s="20"/>
      <c r="G77" s="20"/>
      <c r="H77" s="20"/>
      <c r="I77" s="131"/>
      <c r="J77" s="132"/>
      <c r="K77" s="132"/>
    </row>
    <row r="78">
      <c r="A78" s="20"/>
      <c r="B78" s="20"/>
      <c r="C78" s="20"/>
      <c r="D78" s="20"/>
      <c r="E78" s="20"/>
      <c r="F78" s="20"/>
      <c r="G78" s="20"/>
      <c r="H78" s="20"/>
      <c r="I78" s="131"/>
      <c r="J78" s="132"/>
      <c r="K78" s="132"/>
    </row>
    <row r="79">
      <c r="A79" s="20"/>
      <c r="B79" s="20"/>
      <c r="C79" s="20"/>
      <c r="D79" s="20"/>
      <c r="E79" s="20"/>
      <c r="F79" s="20"/>
      <c r="G79" s="20"/>
      <c r="H79" s="20"/>
      <c r="I79" s="131"/>
      <c r="J79" s="132"/>
      <c r="K79" s="132"/>
    </row>
    <row r="80">
      <c r="A80" s="20"/>
      <c r="B80" s="20"/>
      <c r="C80" s="20"/>
      <c r="D80" s="20"/>
      <c r="E80" s="20"/>
      <c r="F80" s="20"/>
      <c r="G80" s="20"/>
      <c r="H80" s="20"/>
      <c r="I80" s="131"/>
      <c r="J80" s="132"/>
      <c r="K80" s="132"/>
    </row>
    <row r="81">
      <c r="A81" s="20"/>
      <c r="B81" s="20"/>
      <c r="C81" s="20"/>
      <c r="D81" s="20"/>
      <c r="E81" s="20"/>
      <c r="F81" s="20"/>
      <c r="G81" s="20"/>
      <c r="H81" s="20"/>
      <c r="I81" s="131"/>
      <c r="J81" s="132"/>
      <c r="K81" s="132"/>
    </row>
    <row r="82">
      <c r="A82" s="20"/>
      <c r="B82" s="20"/>
      <c r="C82" s="20"/>
      <c r="D82" s="20"/>
      <c r="E82" s="20"/>
      <c r="F82" s="20"/>
      <c r="G82" s="20"/>
      <c r="H82" s="20"/>
      <c r="I82" s="131"/>
      <c r="J82" s="132"/>
      <c r="K82" s="132"/>
    </row>
    <row r="83">
      <c r="A83" s="20"/>
      <c r="B83" s="20"/>
      <c r="C83" s="20"/>
      <c r="D83" s="20"/>
      <c r="E83" s="20"/>
      <c r="F83" s="20"/>
      <c r="G83" s="20"/>
      <c r="H83" s="20"/>
      <c r="I83" s="131"/>
      <c r="J83" s="132"/>
      <c r="K83" s="132"/>
    </row>
    <row r="84">
      <c r="A84" s="20"/>
      <c r="B84" s="20"/>
      <c r="C84" s="20"/>
      <c r="D84" s="20"/>
      <c r="E84" s="20"/>
      <c r="F84" s="20"/>
      <c r="G84" s="20"/>
      <c r="H84" s="20"/>
      <c r="I84" s="131"/>
      <c r="J84" s="132"/>
      <c r="K84" s="132"/>
    </row>
    <row r="85">
      <c r="A85" s="20"/>
      <c r="B85" s="20"/>
      <c r="C85" s="20"/>
      <c r="D85" s="20"/>
      <c r="E85" s="20"/>
      <c r="F85" s="20"/>
      <c r="G85" s="20"/>
      <c r="H85" s="20"/>
      <c r="I85" s="131"/>
      <c r="J85" s="132"/>
      <c r="K85" s="132"/>
    </row>
    <row r="86">
      <c r="A86" s="20"/>
      <c r="B86" s="20"/>
      <c r="C86" s="20"/>
      <c r="D86" s="20"/>
      <c r="E86" s="20"/>
      <c r="F86" s="20"/>
      <c r="G86" s="20"/>
      <c r="H86" s="20"/>
      <c r="I86" s="131"/>
      <c r="J86" s="132"/>
      <c r="K86" s="132"/>
    </row>
    <row r="87">
      <c r="A87" s="20"/>
      <c r="B87" s="20"/>
      <c r="C87" s="20"/>
      <c r="D87" s="20"/>
      <c r="E87" s="20"/>
      <c r="F87" s="20"/>
      <c r="G87" s="20"/>
      <c r="H87" s="20"/>
      <c r="I87" s="131"/>
      <c r="J87" s="132"/>
      <c r="K87" s="132"/>
    </row>
    <row r="88">
      <c r="A88" s="20"/>
      <c r="B88" s="20"/>
      <c r="C88" s="20"/>
      <c r="D88" s="20"/>
      <c r="E88" s="20"/>
      <c r="F88" s="20"/>
      <c r="G88" s="20"/>
      <c r="H88" s="20"/>
      <c r="I88" s="131"/>
      <c r="J88" s="132"/>
      <c r="K88" s="132"/>
    </row>
    <row r="89">
      <c r="A89" s="20"/>
      <c r="B89" s="20"/>
      <c r="C89" s="20"/>
      <c r="D89" s="20"/>
      <c r="E89" s="20"/>
      <c r="F89" s="20"/>
      <c r="G89" s="20"/>
      <c r="H89" s="20"/>
      <c r="I89" s="131"/>
      <c r="J89" s="132"/>
      <c r="K89" s="132"/>
    </row>
    <row r="90">
      <c r="A90" s="20"/>
      <c r="B90" s="20"/>
      <c r="C90" s="20"/>
      <c r="D90" s="20"/>
      <c r="E90" s="20"/>
      <c r="F90" s="20"/>
      <c r="G90" s="20"/>
      <c r="H90" s="20"/>
      <c r="I90" s="131"/>
      <c r="J90" s="132"/>
      <c r="K90" s="132"/>
    </row>
    <row r="91">
      <c r="A91" s="20"/>
      <c r="B91" s="20"/>
      <c r="C91" s="20"/>
      <c r="D91" s="20"/>
      <c r="E91" s="20"/>
      <c r="F91" s="20"/>
      <c r="G91" s="20"/>
      <c r="H91" s="20"/>
      <c r="I91" s="131"/>
      <c r="J91" s="132"/>
      <c r="K91" s="132"/>
    </row>
    <row r="92">
      <c r="A92" s="20"/>
      <c r="B92" s="20"/>
      <c r="C92" s="20"/>
      <c r="D92" s="20"/>
      <c r="E92" s="20"/>
      <c r="F92" s="20"/>
      <c r="G92" s="20"/>
      <c r="H92" s="20"/>
      <c r="I92" s="131"/>
      <c r="J92" s="132"/>
      <c r="K92" s="132"/>
    </row>
    <row r="93">
      <c r="A93" s="20"/>
      <c r="B93" s="20"/>
      <c r="C93" s="20"/>
      <c r="D93" s="20"/>
      <c r="E93" s="20"/>
      <c r="F93" s="20"/>
      <c r="G93" s="20"/>
      <c r="H93" s="20"/>
      <c r="I93" s="131"/>
      <c r="J93" s="132"/>
      <c r="K93" s="132"/>
    </row>
    <row r="94">
      <c r="A94" s="20"/>
      <c r="B94" s="20"/>
      <c r="C94" s="20"/>
      <c r="D94" s="20"/>
      <c r="E94" s="20"/>
      <c r="F94" s="20"/>
      <c r="G94" s="20"/>
      <c r="H94" s="20"/>
      <c r="I94" s="131"/>
      <c r="J94" s="132"/>
      <c r="K94" s="132"/>
    </row>
    <row r="95">
      <c r="A95" s="20"/>
      <c r="B95" s="20"/>
      <c r="C95" s="20"/>
      <c r="D95" s="20"/>
      <c r="E95" s="20"/>
      <c r="F95" s="20"/>
      <c r="G95" s="20"/>
      <c r="H95" s="20"/>
      <c r="I95" s="131"/>
      <c r="J95" s="132"/>
      <c r="K95" s="132"/>
    </row>
    <row r="96">
      <c r="A96" s="20"/>
      <c r="B96" s="20"/>
      <c r="C96" s="20"/>
      <c r="D96" s="20"/>
      <c r="E96" s="20"/>
      <c r="F96" s="20"/>
      <c r="G96" s="20"/>
      <c r="H96" s="20"/>
      <c r="I96" s="131"/>
      <c r="J96" s="132"/>
      <c r="K96" s="132"/>
    </row>
    <row r="97">
      <c r="A97" s="20"/>
      <c r="B97" s="20"/>
      <c r="C97" s="20"/>
      <c r="D97" s="20"/>
      <c r="E97" s="20"/>
      <c r="F97" s="20"/>
      <c r="G97" s="20"/>
      <c r="H97" s="20"/>
      <c r="I97" s="131"/>
      <c r="J97" s="132"/>
      <c r="K97" s="132"/>
    </row>
    <row r="98">
      <c r="A98" s="20"/>
      <c r="B98" s="20"/>
      <c r="C98" s="20"/>
      <c r="D98" s="20"/>
      <c r="E98" s="20"/>
      <c r="F98" s="20"/>
      <c r="G98" s="20"/>
      <c r="H98" s="20"/>
      <c r="I98" s="131"/>
      <c r="J98" s="132"/>
      <c r="K98" s="132"/>
    </row>
    <row r="99">
      <c r="A99" s="20"/>
      <c r="B99" s="20"/>
      <c r="C99" s="20"/>
      <c r="D99" s="20"/>
      <c r="E99" s="20"/>
      <c r="F99" s="20"/>
      <c r="G99" s="20"/>
      <c r="H99" s="20"/>
      <c r="I99" s="131"/>
      <c r="J99" s="132"/>
      <c r="K99" s="132"/>
    </row>
    <row r="100">
      <c r="A100" s="20"/>
      <c r="B100" s="20"/>
      <c r="C100" s="20"/>
      <c r="D100" s="20"/>
      <c r="E100" s="20"/>
      <c r="F100" s="20"/>
      <c r="G100" s="20"/>
      <c r="H100" s="20"/>
      <c r="I100" s="131"/>
      <c r="J100" s="132"/>
      <c r="K100" s="132"/>
    </row>
    <row r="101">
      <c r="A101" s="20"/>
      <c r="B101" s="20"/>
      <c r="C101" s="20"/>
      <c r="D101" s="20"/>
      <c r="E101" s="20"/>
      <c r="F101" s="20"/>
      <c r="G101" s="20"/>
      <c r="H101" s="20"/>
      <c r="I101" s="131"/>
      <c r="J101" s="132"/>
      <c r="K101" s="132"/>
    </row>
    <row r="102">
      <c r="A102" s="20"/>
      <c r="B102" s="20"/>
      <c r="C102" s="20"/>
      <c r="D102" s="20"/>
      <c r="E102" s="20"/>
      <c r="F102" s="20"/>
      <c r="G102" s="20"/>
      <c r="H102" s="20"/>
      <c r="I102" s="131"/>
      <c r="J102" s="132"/>
      <c r="K102" s="132"/>
    </row>
    <row r="103">
      <c r="A103" s="20"/>
      <c r="B103" s="20"/>
      <c r="C103" s="20"/>
      <c r="D103" s="20"/>
      <c r="E103" s="20"/>
      <c r="F103" s="20"/>
      <c r="G103" s="20"/>
      <c r="H103" s="20"/>
      <c r="I103" s="131"/>
      <c r="J103" s="132"/>
      <c r="K103" s="132"/>
    </row>
    <row r="104">
      <c r="A104" s="20"/>
      <c r="B104" s="20"/>
      <c r="C104" s="20"/>
      <c r="D104" s="20"/>
      <c r="E104" s="20"/>
      <c r="F104" s="20"/>
      <c r="G104" s="20"/>
      <c r="H104" s="20"/>
      <c r="I104" s="131"/>
      <c r="J104" s="132"/>
      <c r="K104" s="132"/>
    </row>
    <row r="105">
      <c r="A105" s="20"/>
      <c r="B105" s="20"/>
      <c r="C105" s="20"/>
      <c r="D105" s="20"/>
      <c r="E105" s="20"/>
      <c r="F105" s="20"/>
      <c r="G105" s="20"/>
      <c r="H105" s="20"/>
      <c r="I105" s="131"/>
      <c r="J105" s="132"/>
      <c r="K105" s="132"/>
    </row>
    <row r="106">
      <c r="A106" s="20"/>
      <c r="B106" s="20"/>
      <c r="C106" s="20"/>
      <c r="D106" s="20"/>
      <c r="E106" s="20"/>
      <c r="F106" s="20"/>
      <c r="G106" s="20"/>
      <c r="H106" s="20"/>
      <c r="I106" s="131"/>
      <c r="J106" s="132"/>
      <c r="K106" s="132"/>
    </row>
    <row r="107">
      <c r="A107" s="20"/>
      <c r="B107" s="20"/>
      <c r="C107" s="20"/>
      <c r="D107" s="20"/>
      <c r="E107" s="20"/>
      <c r="F107" s="20"/>
      <c r="G107" s="20"/>
      <c r="H107" s="20"/>
      <c r="I107" s="131"/>
      <c r="J107" s="132"/>
      <c r="K107" s="132"/>
    </row>
    <row r="108">
      <c r="A108" s="20"/>
      <c r="B108" s="20"/>
      <c r="C108" s="20"/>
      <c r="D108" s="20"/>
      <c r="E108" s="20"/>
      <c r="F108" s="20"/>
      <c r="G108" s="20"/>
      <c r="H108" s="20"/>
      <c r="I108" s="131"/>
      <c r="J108" s="132"/>
      <c r="K108" s="132"/>
    </row>
    <row r="109">
      <c r="A109" s="20"/>
      <c r="B109" s="20"/>
      <c r="C109" s="20"/>
      <c r="D109" s="20"/>
      <c r="E109" s="20"/>
      <c r="F109" s="20"/>
      <c r="G109" s="20"/>
      <c r="H109" s="20"/>
      <c r="I109" s="131"/>
      <c r="J109" s="132"/>
      <c r="K109" s="132"/>
    </row>
    <row r="110">
      <c r="A110" s="20"/>
      <c r="B110" s="20"/>
      <c r="C110" s="20"/>
      <c r="D110" s="20"/>
      <c r="E110" s="20"/>
      <c r="F110" s="20"/>
      <c r="G110" s="20"/>
      <c r="H110" s="20"/>
      <c r="I110" s="131"/>
      <c r="J110" s="132"/>
      <c r="K110" s="132"/>
    </row>
    <row r="111">
      <c r="A111" s="20"/>
      <c r="B111" s="20"/>
      <c r="C111" s="20"/>
      <c r="D111" s="20"/>
      <c r="E111" s="20"/>
      <c r="F111" s="20"/>
      <c r="G111" s="20"/>
      <c r="H111" s="20"/>
      <c r="I111" s="131"/>
      <c r="J111" s="132"/>
      <c r="K111" s="132"/>
    </row>
    <row r="112">
      <c r="A112" s="20"/>
      <c r="B112" s="20"/>
      <c r="C112" s="20"/>
      <c r="D112" s="20"/>
      <c r="E112" s="20"/>
      <c r="F112" s="20"/>
      <c r="G112" s="20"/>
      <c r="H112" s="20"/>
      <c r="I112" s="131"/>
      <c r="J112" s="132"/>
      <c r="K112" s="132"/>
    </row>
    <row r="113">
      <c r="A113" s="20"/>
      <c r="B113" s="20"/>
      <c r="C113" s="20"/>
      <c r="D113" s="20"/>
      <c r="E113" s="20"/>
      <c r="F113" s="20"/>
      <c r="G113" s="20"/>
      <c r="H113" s="20"/>
      <c r="I113" s="131"/>
      <c r="J113" s="132"/>
      <c r="K113" s="132"/>
    </row>
    <row r="114">
      <c r="A114" s="20"/>
      <c r="B114" s="20"/>
      <c r="C114" s="20"/>
      <c r="D114" s="20"/>
      <c r="E114" s="20"/>
      <c r="F114" s="20"/>
      <c r="G114" s="20"/>
      <c r="H114" s="20"/>
      <c r="I114" s="131"/>
      <c r="J114" s="132"/>
      <c r="K114" s="132"/>
    </row>
    <row r="115">
      <c r="A115" s="20"/>
      <c r="B115" s="20"/>
      <c r="C115" s="20"/>
      <c r="D115" s="20"/>
      <c r="E115" s="20"/>
      <c r="F115" s="20"/>
      <c r="G115" s="20"/>
      <c r="H115" s="20"/>
      <c r="I115" s="131"/>
      <c r="J115" s="132"/>
      <c r="K115" s="132"/>
    </row>
    <row r="116">
      <c r="A116" s="20"/>
      <c r="B116" s="20"/>
      <c r="C116" s="20"/>
      <c r="D116" s="20"/>
      <c r="E116" s="20"/>
      <c r="F116" s="20"/>
      <c r="G116" s="20"/>
      <c r="H116" s="20"/>
      <c r="I116" s="131"/>
      <c r="J116" s="132"/>
      <c r="K116" s="132"/>
    </row>
    <row r="117">
      <c r="A117" s="20"/>
      <c r="B117" s="20"/>
      <c r="C117" s="20"/>
      <c r="D117" s="20"/>
      <c r="E117" s="20"/>
      <c r="F117" s="20"/>
      <c r="G117" s="20"/>
      <c r="H117" s="20"/>
      <c r="I117" s="131"/>
      <c r="J117" s="132"/>
      <c r="K117" s="132"/>
    </row>
    <row r="118">
      <c r="A118" s="20"/>
      <c r="B118" s="20"/>
      <c r="C118" s="20"/>
      <c r="D118" s="20"/>
      <c r="E118" s="20"/>
      <c r="F118" s="20"/>
      <c r="G118" s="20"/>
      <c r="H118" s="20"/>
      <c r="I118" s="131"/>
      <c r="J118" s="132"/>
      <c r="K118" s="132"/>
    </row>
    <row r="119">
      <c r="A119" s="20"/>
      <c r="B119" s="20"/>
      <c r="C119" s="20"/>
      <c r="D119" s="20"/>
      <c r="E119" s="20"/>
      <c r="F119" s="20"/>
      <c r="G119" s="20"/>
      <c r="H119" s="20"/>
      <c r="I119" s="131"/>
      <c r="J119" s="132"/>
      <c r="K119" s="132"/>
    </row>
    <row r="120">
      <c r="A120" s="20"/>
      <c r="B120" s="20"/>
      <c r="C120" s="20"/>
      <c r="D120" s="20"/>
      <c r="E120" s="20"/>
      <c r="F120" s="20"/>
      <c r="G120" s="20"/>
      <c r="H120" s="20"/>
      <c r="I120" s="131"/>
      <c r="J120" s="132"/>
      <c r="K120" s="132"/>
    </row>
    <row r="121">
      <c r="A121" s="20"/>
      <c r="B121" s="20"/>
      <c r="C121" s="20"/>
      <c r="D121" s="20"/>
      <c r="E121" s="20"/>
      <c r="F121" s="20"/>
      <c r="G121" s="20"/>
      <c r="H121" s="20"/>
      <c r="I121" s="131"/>
      <c r="J121" s="132"/>
      <c r="K121" s="132"/>
    </row>
    <row r="122">
      <c r="A122" s="20"/>
      <c r="B122" s="20"/>
      <c r="C122" s="20"/>
      <c r="D122" s="20"/>
      <c r="E122" s="20"/>
      <c r="F122" s="20"/>
      <c r="G122" s="20"/>
      <c r="H122" s="20"/>
      <c r="I122" s="131"/>
      <c r="J122" s="132"/>
      <c r="K122" s="132"/>
    </row>
    <row r="123">
      <c r="A123" s="20"/>
      <c r="B123" s="20"/>
      <c r="C123" s="20"/>
      <c r="D123" s="20"/>
      <c r="E123" s="20"/>
      <c r="F123" s="20"/>
      <c r="G123" s="20"/>
      <c r="H123" s="20"/>
      <c r="I123" s="131"/>
      <c r="J123" s="132"/>
      <c r="K123" s="132"/>
    </row>
    <row r="124">
      <c r="A124" s="20"/>
      <c r="B124" s="20"/>
      <c r="C124" s="20"/>
      <c r="D124" s="20"/>
      <c r="E124" s="20"/>
      <c r="F124" s="20"/>
      <c r="G124" s="20"/>
      <c r="H124" s="20"/>
      <c r="I124" s="131"/>
      <c r="J124" s="132"/>
      <c r="K124" s="132"/>
    </row>
    <row r="125">
      <c r="A125" s="20"/>
      <c r="B125" s="20"/>
      <c r="C125" s="20"/>
      <c r="D125" s="20"/>
      <c r="E125" s="20"/>
      <c r="F125" s="20"/>
      <c r="G125" s="20"/>
      <c r="H125" s="20"/>
      <c r="I125" s="131"/>
      <c r="J125" s="132"/>
      <c r="K125" s="132"/>
    </row>
    <row r="126">
      <c r="A126" s="20"/>
      <c r="B126" s="20"/>
      <c r="C126" s="20"/>
      <c r="D126" s="20"/>
      <c r="E126" s="20"/>
      <c r="F126" s="20"/>
      <c r="G126" s="20"/>
      <c r="H126" s="20"/>
      <c r="I126" s="131"/>
      <c r="J126" s="132"/>
      <c r="K126" s="132"/>
    </row>
    <row r="127">
      <c r="A127" s="20"/>
      <c r="B127" s="20"/>
      <c r="C127" s="20"/>
      <c r="D127" s="20"/>
      <c r="E127" s="20"/>
      <c r="F127" s="20"/>
      <c r="G127" s="20"/>
      <c r="H127" s="20"/>
      <c r="I127" s="131"/>
      <c r="J127" s="132"/>
      <c r="K127" s="132"/>
    </row>
    <row r="128">
      <c r="A128" s="20"/>
      <c r="B128" s="20"/>
      <c r="C128" s="20"/>
      <c r="D128" s="20"/>
      <c r="E128" s="20"/>
      <c r="F128" s="20"/>
      <c r="G128" s="20"/>
      <c r="H128" s="20"/>
      <c r="I128" s="131"/>
      <c r="J128" s="132"/>
      <c r="K128" s="132"/>
    </row>
    <row r="129">
      <c r="A129" s="20"/>
      <c r="B129" s="20"/>
      <c r="C129" s="20"/>
      <c r="D129" s="20"/>
      <c r="E129" s="20"/>
      <c r="F129" s="20"/>
      <c r="G129" s="20"/>
      <c r="H129" s="20"/>
      <c r="I129" s="131"/>
      <c r="J129" s="132"/>
      <c r="K129" s="132"/>
    </row>
    <row r="130">
      <c r="A130" s="20"/>
      <c r="B130" s="20"/>
      <c r="C130" s="20"/>
      <c r="D130" s="20"/>
      <c r="E130" s="20"/>
      <c r="F130" s="20"/>
      <c r="G130" s="20"/>
      <c r="H130" s="20"/>
      <c r="I130" s="131"/>
      <c r="J130" s="132"/>
      <c r="K130" s="132"/>
    </row>
    <row r="131">
      <c r="A131" s="20"/>
      <c r="B131" s="20"/>
      <c r="C131" s="20"/>
      <c r="D131" s="20"/>
      <c r="E131" s="20"/>
      <c r="F131" s="20"/>
      <c r="G131" s="20"/>
      <c r="H131" s="20"/>
      <c r="I131" s="131"/>
      <c r="J131" s="132"/>
      <c r="K131" s="132"/>
    </row>
    <row r="132">
      <c r="A132" s="20"/>
      <c r="B132" s="20"/>
      <c r="C132" s="20"/>
      <c r="D132" s="20"/>
      <c r="E132" s="20"/>
      <c r="F132" s="20"/>
      <c r="G132" s="20"/>
      <c r="H132" s="20"/>
      <c r="I132" s="131"/>
      <c r="J132" s="132"/>
      <c r="K132" s="132"/>
    </row>
    <row r="133">
      <c r="A133" s="20"/>
      <c r="B133" s="20"/>
      <c r="C133" s="20"/>
      <c r="D133" s="20"/>
      <c r="E133" s="20"/>
      <c r="F133" s="20"/>
      <c r="G133" s="20"/>
      <c r="H133" s="20"/>
      <c r="I133" s="131"/>
      <c r="J133" s="132"/>
      <c r="K133" s="132"/>
    </row>
    <row r="134">
      <c r="A134" s="20"/>
      <c r="B134" s="20"/>
      <c r="C134" s="20"/>
      <c r="D134" s="20"/>
      <c r="E134" s="20"/>
      <c r="F134" s="20"/>
      <c r="G134" s="20"/>
      <c r="H134" s="20"/>
      <c r="I134" s="131"/>
      <c r="J134" s="132"/>
      <c r="K134" s="132"/>
    </row>
    <row r="135">
      <c r="A135" s="20"/>
      <c r="B135" s="20"/>
      <c r="C135" s="20"/>
      <c r="D135" s="20"/>
      <c r="E135" s="20"/>
      <c r="F135" s="20"/>
      <c r="G135" s="20"/>
      <c r="H135" s="20"/>
      <c r="I135" s="131"/>
      <c r="J135" s="132"/>
      <c r="K135" s="132"/>
    </row>
    <row r="136">
      <c r="A136" s="20"/>
      <c r="B136" s="20"/>
      <c r="C136" s="20"/>
      <c r="D136" s="20"/>
      <c r="E136" s="20"/>
      <c r="F136" s="20"/>
      <c r="G136" s="20"/>
      <c r="H136" s="20"/>
      <c r="I136" s="131"/>
      <c r="J136" s="132"/>
      <c r="K136" s="132"/>
    </row>
    <row r="137">
      <c r="A137" s="20"/>
      <c r="B137" s="20"/>
      <c r="C137" s="20"/>
      <c r="D137" s="20"/>
      <c r="E137" s="20"/>
      <c r="F137" s="20"/>
      <c r="G137" s="20"/>
      <c r="H137" s="20"/>
      <c r="I137" s="131"/>
      <c r="J137" s="132"/>
      <c r="K137" s="132"/>
    </row>
    <row r="138">
      <c r="A138" s="20"/>
      <c r="B138" s="20"/>
      <c r="C138" s="20"/>
      <c r="D138" s="20"/>
      <c r="E138" s="20"/>
      <c r="F138" s="20"/>
      <c r="G138" s="20"/>
      <c r="H138" s="20"/>
      <c r="I138" s="131"/>
      <c r="J138" s="132"/>
      <c r="K138" s="132"/>
    </row>
    <row r="139">
      <c r="A139" s="20"/>
      <c r="B139" s="20"/>
      <c r="C139" s="20"/>
      <c r="D139" s="20"/>
      <c r="E139" s="20"/>
      <c r="F139" s="20"/>
      <c r="G139" s="20"/>
      <c r="H139" s="20"/>
      <c r="I139" s="131"/>
      <c r="J139" s="132"/>
      <c r="K139" s="132"/>
    </row>
    <row r="140">
      <c r="A140" s="20"/>
      <c r="B140" s="20"/>
      <c r="C140" s="20"/>
      <c r="D140" s="20"/>
      <c r="E140" s="20"/>
      <c r="F140" s="20"/>
      <c r="G140" s="20"/>
      <c r="H140" s="20"/>
      <c r="I140" s="131"/>
      <c r="J140" s="132"/>
      <c r="K140" s="132"/>
    </row>
    <row r="141">
      <c r="A141" s="20"/>
      <c r="B141" s="20"/>
      <c r="C141" s="20"/>
      <c r="D141" s="20"/>
      <c r="E141" s="20"/>
      <c r="F141" s="20"/>
      <c r="G141" s="20"/>
      <c r="H141" s="20"/>
      <c r="I141" s="131"/>
      <c r="J141" s="132"/>
      <c r="K141" s="132"/>
    </row>
    <row r="142">
      <c r="A142" s="20"/>
      <c r="B142" s="20"/>
      <c r="C142" s="20"/>
      <c r="D142" s="20"/>
      <c r="E142" s="20"/>
      <c r="F142" s="20"/>
      <c r="G142" s="20"/>
      <c r="H142" s="20"/>
      <c r="I142" s="131"/>
      <c r="J142" s="132"/>
      <c r="K142" s="132"/>
    </row>
    <row r="143">
      <c r="A143" s="20"/>
      <c r="B143" s="20"/>
      <c r="C143" s="20"/>
      <c r="D143" s="20"/>
      <c r="E143" s="20"/>
      <c r="F143" s="20"/>
      <c r="G143" s="20"/>
      <c r="H143" s="20"/>
      <c r="I143" s="131"/>
      <c r="J143" s="132"/>
      <c r="K143" s="132"/>
    </row>
    <row r="144">
      <c r="A144" s="20"/>
      <c r="B144" s="20"/>
      <c r="C144" s="20"/>
      <c r="D144" s="20"/>
      <c r="E144" s="20"/>
      <c r="F144" s="20"/>
      <c r="G144" s="20"/>
      <c r="H144" s="20"/>
      <c r="I144" s="131"/>
      <c r="J144" s="132"/>
      <c r="K144" s="132"/>
    </row>
    <row r="145">
      <c r="A145" s="20"/>
      <c r="B145" s="20"/>
      <c r="C145" s="20"/>
      <c r="D145" s="20"/>
      <c r="E145" s="20"/>
      <c r="F145" s="20"/>
      <c r="G145" s="20"/>
      <c r="H145" s="20"/>
      <c r="I145" s="131"/>
      <c r="J145" s="132"/>
      <c r="K145" s="132"/>
    </row>
    <row r="146">
      <c r="A146" s="20"/>
      <c r="B146" s="20"/>
      <c r="C146" s="20"/>
      <c r="D146" s="20"/>
      <c r="E146" s="20"/>
      <c r="F146" s="20"/>
      <c r="G146" s="20"/>
      <c r="H146" s="20"/>
      <c r="I146" s="131"/>
      <c r="J146" s="132"/>
      <c r="K146" s="132"/>
    </row>
    <row r="147">
      <c r="A147" s="20"/>
      <c r="B147" s="20"/>
      <c r="C147" s="20"/>
      <c r="D147" s="20"/>
      <c r="E147" s="20"/>
      <c r="F147" s="20"/>
      <c r="G147" s="20"/>
      <c r="H147" s="20"/>
      <c r="I147" s="131"/>
      <c r="J147" s="132"/>
      <c r="K147" s="132"/>
    </row>
    <row r="148">
      <c r="A148" s="20"/>
      <c r="B148" s="20"/>
      <c r="C148" s="20"/>
      <c r="D148" s="20"/>
      <c r="E148" s="20"/>
      <c r="F148" s="20"/>
      <c r="G148" s="20"/>
      <c r="H148" s="20"/>
      <c r="I148" s="131"/>
      <c r="J148" s="132"/>
      <c r="K148" s="132"/>
    </row>
    <row r="149">
      <c r="A149" s="20"/>
      <c r="B149" s="20"/>
      <c r="C149" s="20"/>
      <c r="D149" s="20"/>
      <c r="E149" s="20"/>
      <c r="F149" s="20"/>
      <c r="G149" s="20"/>
      <c r="H149" s="20"/>
      <c r="I149" s="131"/>
      <c r="J149" s="132"/>
      <c r="K149" s="132"/>
    </row>
    <row r="150">
      <c r="A150" s="20"/>
      <c r="B150" s="20"/>
      <c r="C150" s="20"/>
      <c r="D150" s="20"/>
      <c r="E150" s="20"/>
      <c r="F150" s="20"/>
      <c r="G150" s="20"/>
      <c r="H150" s="20"/>
      <c r="I150" s="131"/>
      <c r="J150" s="132"/>
      <c r="K150" s="132"/>
    </row>
    <row r="151">
      <c r="A151" s="20"/>
      <c r="B151" s="20"/>
      <c r="C151" s="20"/>
      <c r="D151" s="20"/>
      <c r="E151" s="20"/>
      <c r="F151" s="20"/>
      <c r="G151" s="20"/>
      <c r="H151" s="20"/>
      <c r="I151" s="131"/>
      <c r="J151" s="132"/>
      <c r="K151" s="132"/>
    </row>
    <row r="152">
      <c r="A152" s="20"/>
      <c r="B152" s="20"/>
      <c r="C152" s="20"/>
      <c r="D152" s="20"/>
      <c r="E152" s="20"/>
      <c r="F152" s="20"/>
      <c r="G152" s="20"/>
      <c r="H152" s="20"/>
      <c r="I152" s="131"/>
    </row>
    <row r="153">
      <c r="A153" s="20"/>
      <c r="B153" s="20"/>
      <c r="C153" s="20"/>
      <c r="D153" s="20"/>
      <c r="E153" s="20"/>
      <c r="F153" s="20"/>
      <c r="G153" s="20"/>
      <c r="H153" s="20"/>
      <c r="I153" s="131"/>
    </row>
    <row r="154">
      <c r="A154" s="20"/>
      <c r="B154" s="20"/>
      <c r="C154" s="20"/>
      <c r="D154" s="20"/>
      <c r="E154" s="20"/>
      <c r="F154" s="20"/>
      <c r="G154" s="20"/>
      <c r="H154" s="20"/>
      <c r="I154" s="131"/>
    </row>
    <row r="155">
      <c r="A155" s="20"/>
      <c r="B155" s="20"/>
      <c r="C155" s="20"/>
      <c r="D155" s="20"/>
      <c r="E155" s="20"/>
      <c r="F155" s="20"/>
      <c r="G155" s="20"/>
      <c r="H155" s="20"/>
      <c r="I155" s="131"/>
    </row>
    <row r="156">
      <c r="A156" s="20"/>
      <c r="B156" s="20"/>
      <c r="C156" s="20"/>
      <c r="D156" s="20"/>
      <c r="E156" s="20"/>
      <c r="F156" s="20"/>
      <c r="G156" s="20"/>
      <c r="H156" s="20"/>
      <c r="I156" s="131"/>
    </row>
    <row r="157">
      <c r="A157" s="20"/>
      <c r="B157" s="20"/>
      <c r="C157" s="20"/>
      <c r="D157" s="20"/>
      <c r="E157" s="20"/>
      <c r="F157" s="20"/>
      <c r="G157" s="20"/>
      <c r="H157" s="20"/>
      <c r="I157" s="131"/>
    </row>
    <row r="158">
      <c r="A158" s="20"/>
      <c r="B158" s="20"/>
      <c r="C158" s="20"/>
      <c r="D158" s="20"/>
      <c r="E158" s="20"/>
      <c r="F158" s="20"/>
      <c r="G158" s="20"/>
      <c r="H158" s="20"/>
      <c r="I158" s="131"/>
    </row>
    <row r="159">
      <c r="A159" s="20"/>
      <c r="B159" s="20"/>
      <c r="C159" s="20"/>
      <c r="D159" s="20"/>
      <c r="E159" s="20"/>
      <c r="F159" s="20"/>
      <c r="G159" s="20"/>
      <c r="H159" s="20"/>
      <c r="I159" s="131"/>
    </row>
    <row r="160">
      <c r="A160" s="20"/>
      <c r="B160" s="20"/>
      <c r="C160" s="20"/>
      <c r="D160" s="20"/>
      <c r="E160" s="20"/>
      <c r="F160" s="20"/>
      <c r="G160" s="20"/>
      <c r="H160" s="20"/>
      <c r="I160" s="131"/>
    </row>
    <row r="161">
      <c r="A161" s="20"/>
      <c r="B161" s="20"/>
      <c r="C161" s="20"/>
      <c r="D161" s="20"/>
      <c r="E161" s="20"/>
      <c r="F161" s="20"/>
      <c r="G161" s="20"/>
      <c r="H161" s="20"/>
      <c r="I161" s="131"/>
    </row>
    <row r="162">
      <c r="A162" s="20"/>
      <c r="B162" s="20"/>
      <c r="C162" s="20"/>
      <c r="D162" s="20"/>
      <c r="E162" s="20"/>
      <c r="F162" s="20"/>
      <c r="G162" s="20"/>
      <c r="H162" s="20"/>
      <c r="I162" s="131"/>
    </row>
    <row r="163">
      <c r="A163" s="20"/>
      <c r="B163" s="20"/>
      <c r="C163" s="20"/>
      <c r="D163" s="20"/>
      <c r="E163" s="20"/>
      <c r="F163" s="20"/>
      <c r="G163" s="20"/>
      <c r="H163" s="20"/>
      <c r="I163" s="131"/>
    </row>
    <row r="164">
      <c r="A164" s="20"/>
      <c r="B164" s="20"/>
      <c r="C164" s="20"/>
      <c r="D164" s="20"/>
      <c r="E164" s="20"/>
      <c r="F164" s="20"/>
      <c r="G164" s="20"/>
      <c r="H164" s="20"/>
      <c r="I164" s="131"/>
    </row>
    <row r="165">
      <c r="A165" s="20"/>
      <c r="B165" s="20"/>
      <c r="C165" s="20"/>
      <c r="D165" s="20"/>
      <c r="E165" s="20"/>
      <c r="F165" s="20"/>
      <c r="G165" s="20"/>
      <c r="H165" s="20"/>
      <c r="I165" s="131"/>
    </row>
    <row r="166">
      <c r="A166" s="20"/>
      <c r="B166" s="20"/>
      <c r="C166" s="20"/>
      <c r="D166" s="20"/>
      <c r="E166" s="20"/>
      <c r="F166" s="20"/>
      <c r="G166" s="20"/>
      <c r="H166" s="20"/>
      <c r="I166" s="131"/>
    </row>
    <row r="167">
      <c r="A167" s="20"/>
      <c r="B167" s="20"/>
      <c r="C167" s="20"/>
      <c r="D167" s="20"/>
      <c r="E167" s="20"/>
      <c r="F167" s="20"/>
      <c r="G167" s="20"/>
      <c r="H167" s="20"/>
      <c r="I167" s="131"/>
    </row>
    <row r="168">
      <c r="A168" s="20"/>
      <c r="B168" s="20"/>
      <c r="C168" s="20"/>
      <c r="D168" s="20"/>
      <c r="E168" s="20"/>
      <c r="F168" s="20"/>
      <c r="G168" s="20"/>
      <c r="H168" s="20"/>
      <c r="I168" s="131"/>
    </row>
    <row r="169">
      <c r="A169" s="20"/>
      <c r="B169" s="20"/>
      <c r="C169" s="20"/>
      <c r="D169" s="20"/>
      <c r="E169" s="20"/>
      <c r="F169" s="20"/>
      <c r="G169" s="20"/>
      <c r="H169" s="20"/>
      <c r="I169" s="131"/>
    </row>
    <row r="170">
      <c r="A170" s="20"/>
      <c r="B170" s="20"/>
      <c r="C170" s="20"/>
      <c r="D170" s="20"/>
      <c r="E170" s="20"/>
      <c r="F170" s="20"/>
      <c r="G170" s="20"/>
      <c r="H170" s="20"/>
      <c r="I170" s="131"/>
    </row>
    <row r="171">
      <c r="A171" s="20"/>
      <c r="B171" s="20"/>
      <c r="C171" s="20"/>
      <c r="D171" s="20"/>
      <c r="E171" s="20"/>
      <c r="F171" s="20"/>
      <c r="G171" s="20"/>
      <c r="H171" s="20"/>
      <c r="I171" s="131"/>
    </row>
    <row r="172">
      <c r="A172" s="20"/>
      <c r="B172" s="20"/>
      <c r="C172" s="20"/>
      <c r="D172" s="20"/>
      <c r="E172" s="20"/>
      <c r="F172" s="20"/>
      <c r="G172" s="20"/>
      <c r="H172" s="20"/>
      <c r="I172" s="131"/>
    </row>
    <row r="173">
      <c r="A173" s="20"/>
      <c r="B173" s="20"/>
      <c r="C173" s="20"/>
      <c r="D173" s="20"/>
      <c r="E173" s="20"/>
      <c r="F173" s="20"/>
      <c r="G173" s="20"/>
      <c r="H173" s="20"/>
      <c r="I173" s="131"/>
    </row>
    <row r="174">
      <c r="A174" s="20"/>
      <c r="B174" s="20"/>
      <c r="C174" s="20"/>
      <c r="D174" s="20"/>
      <c r="E174" s="20"/>
      <c r="F174" s="20"/>
      <c r="G174" s="20"/>
      <c r="H174" s="20"/>
      <c r="I174" s="131"/>
    </row>
    <row r="175">
      <c r="A175" s="20"/>
      <c r="B175" s="20"/>
      <c r="C175" s="20"/>
      <c r="D175" s="20"/>
      <c r="E175" s="20"/>
      <c r="F175" s="20"/>
      <c r="G175" s="20"/>
      <c r="H175" s="20"/>
      <c r="I175" s="131"/>
    </row>
    <row r="176">
      <c r="A176" s="20"/>
      <c r="B176" s="20"/>
      <c r="C176" s="20"/>
      <c r="D176" s="20"/>
      <c r="E176" s="20"/>
      <c r="F176" s="20"/>
      <c r="G176" s="20"/>
      <c r="H176" s="20"/>
      <c r="I176" s="131"/>
    </row>
    <row r="177">
      <c r="A177" s="20"/>
      <c r="B177" s="20"/>
      <c r="C177" s="20"/>
      <c r="D177" s="20"/>
      <c r="E177" s="20"/>
      <c r="F177" s="20"/>
      <c r="G177" s="20"/>
      <c r="H177" s="20"/>
      <c r="I177" s="131"/>
    </row>
    <row r="178">
      <c r="A178" s="20"/>
      <c r="B178" s="20"/>
      <c r="C178" s="20"/>
      <c r="D178" s="20"/>
      <c r="E178" s="20"/>
      <c r="F178" s="20"/>
      <c r="G178" s="20"/>
      <c r="H178" s="20"/>
      <c r="I178" s="131"/>
    </row>
    <row r="179">
      <c r="A179" s="20"/>
      <c r="B179" s="20"/>
      <c r="C179" s="20"/>
      <c r="D179" s="20"/>
      <c r="E179" s="20"/>
      <c r="F179" s="20"/>
      <c r="G179" s="20"/>
      <c r="H179" s="20"/>
      <c r="I179" s="131"/>
    </row>
    <row r="180">
      <c r="A180" s="20"/>
      <c r="B180" s="20"/>
      <c r="C180" s="20"/>
      <c r="D180" s="20"/>
      <c r="E180" s="20"/>
      <c r="F180" s="20"/>
      <c r="G180" s="20"/>
      <c r="H180" s="20"/>
      <c r="I180" s="131"/>
    </row>
    <row r="181">
      <c r="A181" s="20"/>
      <c r="B181" s="20"/>
      <c r="C181" s="20"/>
      <c r="D181" s="20"/>
      <c r="E181" s="20"/>
      <c r="F181" s="20"/>
      <c r="G181" s="20"/>
      <c r="H181" s="20"/>
      <c r="I181" s="131"/>
    </row>
    <row r="182">
      <c r="A182" s="20"/>
      <c r="B182" s="20"/>
      <c r="C182" s="20"/>
      <c r="D182" s="20"/>
      <c r="E182" s="20"/>
      <c r="F182" s="20"/>
      <c r="G182" s="20"/>
      <c r="H182" s="20"/>
      <c r="I182" s="131"/>
    </row>
    <row r="183">
      <c r="A183" s="20"/>
      <c r="B183" s="20"/>
      <c r="C183" s="20"/>
      <c r="D183" s="20"/>
      <c r="E183" s="20"/>
      <c r="F183" s="20"/>
      <c r="G183" s="20"/>
      <c r="H183" s="20"/>
      <c r="I183" s="131"/>
    </row>
    <row r="184">
      <c r="A184" s="20"/>
      <c r="B184" s="20"/>
      <c r="C184" s="20"/>
      <c r="D184" s="20"/>
      <c r="E184" s="20"/>
      <c r="F184" s="20"/>
      <c r="G184" s="20"/>
      <c r="H184" s="20"/>
      <c r="I184" s="131"/>
    </row>
    <row r="185">
      <c r="A185" s="20"/>
      <c r="B185" s="20"/>
      <c r="C185" s="20"/>
      <c r="D185" s="20"/>
      <c r="E185" s="20"/>
      <c r="F185" s="20"/>
      <c r="G185" s="20"/>
      <c r="H185" s="20"/>
      <c r="I185" s="131"/>
    </row>
    <row r="186">
      <c r="A186" s="20"/>
      <c r="B186" s="20"/>
      <c r="C186" s="20"/>
      <c r="D186" s="20"/>
      <c r="E186" s="20"/>
      <c r="F186" s="20"/>
      <c r="G186" s="20"/>
      <c r="H186" s="20"/>
      <c r="I186" s="131"/>
    </row>
    <row r="187">
      <c r="A187" s="20"/>
      <c r="B187" s="20"/>
      <c r="C187" s="20"/>
      <c r="D187" s="20"/>
      <c r="E187" s="20"/>
      <c r="F187" s="20"/>
      <c r="G187" s="20"/>
      <c r="H187" s="20"/>
      <c r="I187" s="131"/>
    </row>
    <row r="188">
      <c r="A188" s="20"/>
      <c r="B188" s="20"/>
      <c r="C188" s="20"/>
      <c r="D188" s="20"/>
      <c r="E188" s="20"/>
      <c r="F188" s="20"/>
      <c r="G188" s="20"/>
      <c r="H188" s="20"/>
      <c r="I188" s="131"/>
    </row>
    <row r="189">
      <c r="A189" s="20"/>
      <c r="B189" s="20"/>
      <c r="C189" s="20"/>
      <c r="D189" s="20"/>
      <c r="E189" s="20"/>
      <c r="F189" s="20"/>
      <c r="G189" s="20"/>
      <c r="H189" s="20"/>
      <c r="I189" s="131"/>
    </row>
    <row r="190">
      <c r="A190" s="20"/>
      <c r="B190" s="20"/>
      <c r="C190" s="20"/>
      <c r="D190" s="20"/>
      <c r="E190" s="20"/>
      <c r="F190" s="20"/>
      <c r="G190" s="20"/>
      <c r="H190" s="20"/>
      <c r="I190" s="131"/>
    </row>
    <row r="191">
      <c r="A191" s="20"/>
      <c r="B191" s="20"/>
      <c r="C191" s="20"/>
      <c r="D191" s="20"/>
      <c r="E191" s="20"/>
      <c r="F191" s="20"/>
      <c r="G191" s="64"/>
      <c r="H191" s="20"/>
      <c r="I191" s="131"/>
    </row>
    <row r="192">
      <c r="D192" s="20"/>
      <c r="E192" s="20"/>
      <c r="F192" s="20"/>
      <c r="H192" s="20"/>
      <c r="I192" s="96"/>
    </row>
    <row r="193">
      <c r="I193" s="125"/>
    </row>
    <row r="194">
      <c r="I194" s="125"/>
    </row>
    <row r="195">
      <c r="I195" s="125"/>
    </row>
    <row r="196">
      <c r="I196" s="125"/>
    </row>
    <row r="197">
      <c r="I197" s="125"/>
    </row>
    <row r="198">
      <c r="I198" s="125"/>
    </row>
    <row r="199">
      <c r="I199" s="125"/>
    </row>
    <row r="200">
      <c r="I200" s="125"/>
    </row>
    <row r="201">
      <c r="I201" s="125"/>
    </row>
    <row r="202">
      <c r="I202" s="125"/>
    </row>
    <row r="203">
      <c r="I203" s="125"/>
    </row>
    <row r="204">
      <c r="I204" s="125"/>
    </row>
    <row r="205">
      <c r="I205" s="125"/>
    </row>
    <row r="206">
      <c r="I206" s="125"/>
    </row>
    <row r="207">
      <c r="I207" s="125"/>
    </row>
    <row r="208">
      <c r="I208" s="125"/>
    </row>
    <row r="209">
      <c r="I209" s="125"/>
    </row>
    <row r="210">
      <c r="I210" s="125"/>
    </row>
    <row r="211">
      <c r="I211" s="125"/>
    </row>
    <row r="212">
      <c r="I212" s="125"/>
    </row>
    <row r="213">
      <c r="I213" s="125"/>
    </row>
    <row r="214">
      <c r="I214" s="125"/>
    </row>
    <row r="215">
      <c r="I215" s="125"/>
    </row>
    <row r="216">
      <c r="I216" s="125"/>
    </row>
    <row r="217">
      <c r="I217" s="125"/>
    </row>
    <row r="218">
      <c r="I218" s="125"/>
    </row>
    <row r="219">
      <c r="I219" s="125"/>
    </row>
    <row r="220">
      <c r="I220" s="125"/>
    </row>
    <row r="221">
      <c r="I221" s="125"/>
    </row>
    <row r="222">
      <c r="I222" s="125"/>
    </row>
    <row r="223">
      <c r="I223" s="125"/>
    </row>
    <row r="224">
      <c r="I224" s="125"/>
    </row>
    <row r="225">
      <c r="I225" s="125"/>
    </row>
    <row r="226">
      <c r="I226" s="125"/>
    </row>
    <row r="227">
      <c r="I227" s="125"/>
    </row>
    <row r="228">
      <c r="I228" s="125"/>
    </row>
    <row r="229">
      <c r="I229" s="125"/>
    </row>
    <row r="230">
      <c r="I230" s="125"/>
    </row>
    <row r="231">
      <c r="I231" s="125"/>
    </row>
    <row r="232">
      <c r="I232" s="125"/>
    </row>
    <row r="233">
      <c r="I233" s="125"/>
    </row>
    <row r="234">
      <c r="I234" s="125"/>
    </row>
    <row r="235">
      <c r="I235" s="125"/>
    </row>
    <row r="236">
      <c r="I236" s="125"/>
    </row>
    <row r="237">
      <c r="I237" s="125"/>
    </row>
    <row r="238">
      <c r="I238" s="125"/>
    </row>
    <row r="239">
      <c r="I239" s="125"/>
    </row>
    <row r="240">
      <c r="I240" s="125"/>
    </row>
    <row r="241">
      <c r="I241" s="125"/>
    </row>
    <row r="242">
      <c r="I242" s="125"/>
    </row>
    <row r="243">
      <c r="I243" s="125"/>
    </row>
    <row r="244">
      <c r="I244" s="125"/>
    </row>
    <row r="245">
      <c r="I245" s="125"/>
    </row>
    <row r="246">
      <c r="I246" s="125"/>
    </row>
    <row r="247">
      <c r="I247" s="125"/>
    </row>
    <row r="248">
      <c r="I248" s="125"/>
    </row>
    <row r="249">
      <c r="I249" s="125"/>
    </row>
    <row r="250">
      <c r="I250" s="125"/>
    </row>
    <row r="251">
      <c r="I251" s="125"/>
    </row>
    <row r="252">
      <c r="I252" s="125"/>
    </row>
    <row r="253">
      <c r="I253" s="125"/>
    </row>
    <row r="254">
      <c r="I254" s="125"/>
    </row>
    <row r="255">
      <c r="I255" s="125"/>
    </row>
    <row r="256">
      <c r="I256" s="125"/>
    </row>
    <row r="257">
      <c r="I257" s="125"/>
    </row>
    <row r="258">
      <c r="I258" s="125"/>
    </row>
    <row r="259">
      <c r="I259" s="125"/>
    </row>
    <row r="260">
      <c r="I260" s="125"/>
    </row>
    <row r="261">
      <c r="I261" s="125"/>
    </row>
    <row r="262">
      <c r="I262" s="125"/>
    </row>
    <row r="263">
      <c r="I263" s="125"/>
    </row>
    <row r="264">
      <c r="I264" s="125"/>
    </row>
    <row r="265">
      <c r="I265" s="125"/>
    </row>
    <row r="266">
      <c r="I266" s="125"/>
    </row>
    <row r="267">
      <c r="I267" s="125"/>
    </row>
    <row r="268">
      <c r="I268" s="125"/>
    </row>
    <row r="269">
      <c r="I269" s="125"/>
    </row>
    <row r="270">
      <c r="I270" s="125"/>
    </row>
    <row r="271">
      <c r="I271" s="125"/>
    </row>
    <row r="272">
      <c r="I272" s="125"/>
    </row>
    <row r="273">
      <c r="I273" s="125"/>
    </row>
    <row r="274">
      <c r="I274" s="125"/>
    </row>
    <row r="275">
      <c r="I275" s="125"/>
    </row>
    <row r="276">
      <c r="I276" s="125"/>
    </row>
    <row r="277">
      <c r="I277" s="125"/>
    </row>
    <row r="278">
      <c r="I278" s="125"/>
    </row>
    <row r="279">
      <c r="I279" s="125"/>
    </row>
    <row r="280">
      <c r="I280" s="125"/>
    </row>
    <row r="281">
      <c r="I281" s="125"/>
    </row>
    <row r="282">
      <c r="I282" s="125"/>
    </row>
    <row r="283">
      <c r="I283" s="125"/>
    </row>
    <row r="284">
      <c r="I284" s="125"/>
    </row>
    <row r="285">
      <c r="I285" s="125"/>
    </row>
    <row r="286">
      <c r="I286" s="125"/>
    </row>
    <row r="287">
      <c r="I287" s="125"/>
    </row>
    <row r="288">
      <c r="I288" s="125"/>
    </row>
    <row r="289">
      <c r="I289" s="125"/>
    </row>
    <row r="290">
      <c r="I290" s="125"/>
    </row>
    <row r="291">
      <c r="I291" s="125"/>
    </row>
    <row r="292">
      <c r="I292" s="125"/>
    </row>
    <row r="293">
      <c r="I293" s="125"/>
    </row>
    <row r="294">
      <c r="I294" s="125"/>
    </row>
    <row r="295">
      <c r="I295" s="125"/>
    </row>
    <row r="296">
      <c r="I296" s="125"/>
    </row>
    <row r="297">
      <c r="I297" s="125"/>
    </row>
    <row r="298">
      <c r="I298" s="125"/>
    </row>
    <row r="299">
      <c r="I299" s="125"/>
    </row>
    <row r="300">
      <c r="I300" s="125"/>
    </row>
    <row r="301">
      <c r="I301" s="125"/>
    </row>
    <row r="302">
      <c r="I302" s="125"/>
    </row>
    <row r="303">
      <c r="I303" s="125"/>
    </row>
    <row r="304">
      <c r="I304" s="125"/>
    </row>
    <row r="305">
      <c r="I305" s="125"/>
    </row>
    <row r="306">
      <c r="I306" s="125"/>
    </row>
    <row r="307">
      <c r="I307" s="125"/>
    </row>
    <row r="308">
      <c r="I308" s="125"/>
    </row>
    <row r="309">
      <c r="I309" s="125"/>
    </row>
    <row r="310">
      <c r="I310" s="125"/>
    </row>
    <row r="311">
      <c r="I311" s="125"/>
    </row>
    <row r="312">
      <c r="I312" s="125"/>
    </row>
    <row r="313">
      <c r="I313" s="125"/>
    </row>
    <row r="314">
      <c r="I314" s="125"/>
    </row>
    <row r="315">
      <c r="I315" s="125"/>
    </row>
    <row r="316">
      <c r="I316" s="125"/>
    </row>
    <row r="317">
      <c r="I317" s="125"/>
    </row>
    <row r="318">
      <c r="I318" s="125"/>
    </row>
    <row r="319">
      <c r="I319" s="125"/>
    </row>
    <row r="320">
      <c r="I320" s="125"/>
    </row>
    <row r="321">
      <c r="I321" s="125"/>
    </row>
    <row r="322">
      <c r="I322" s="125"/>
    </row>
    <row r="323">
      <c r="I323" s="125"/>
    </row>
    <row r="324">
      <c r="I324" s="125"/>
    </row>
    <row r="325">
      <c r="I325" s="125"/>
    </row>
    <row r="326">
      <c r="I326" s="125"/>
    </row>
    <row r="327">
      <c r="I327" s="125"/>
    </row>
    <row r="328">
      <c r="I328" s="125"/>
    </row>
    <row r="329">
      <c r="I329" s="125"/>
    </row>
    <row r="330">
      <c r="I330" s="125"/>
    </row>
    <row r="331">
      <c r="I331" s="125"/>
    </row>
    <row r="332">
      <c r="I332" s="125"/>
    </row>
    <row r="333">
      <c r="I333" s="125"/>
    </row>
    <row r="334">
      <c r="I334" s="125"/>
    </row>
    <row r="335">
      <c r="I335" s="125"/>
    </row>
    <row r="336">
      <c r="I336" s="125"/>
    </row>
    <row r="337">
      <c r="I337" s="125"/>
    </row>
    <row r="338">
      <c r="I338" s="125"/>
    </row>
    <row r="339">
      <c r="I339" s="125"/>
    </row>
    <row r="340">
      <c r="I340" s="125"/>
    </row>
    <row r="341">
      <c r="I341" s="125"/>
    </row>
    <row r="342">
      <c r="I342" s="125"/>
    </row>
    <row r="343">
      <c r="I343" s="125"/>
    </row>
    <row r="344">
      <c r="I344" s="125"/>
    </row>
    <row r="345">
      <c r="I345" s="125"/>
    </row>
    <row r="346">
      <c r="I346" s="125"/>
    </row>
    <row r="347">
      <c r="I347" s="125"/>
    </row>
    <row r="348">
      <c r="I348" s="125"/>
    </row>
    <row r="349">
      <c r="I349" s="125"/>
    </row>
    <row r="350">
      <c r="I350" s="125"/>
    </row>
    <row r="351">
      <c r="I351" s="125"/>
    </row>
    <row r="352">
      <c r="I352" s="125"/>
    </row>
    <row r="353">
      <c r="I353" s="125"/>
    </row>
    <row r="354">
      <c r="I354" s="125"/>
    </row>
    <row r="355">
      <c r="I355" s="125"/>
    </row>
    <row r="356">
      <c r="I356" s="125"/>
    </row>
    <row r="357">
      <c r="I357" s="125"/>
    </row>
    <row r="358">
      <c r="I358" s="125"/>
    </row>
    <row r="359">
      <c r="I359" s="125"/>
    </row>
    <row r="360">
      <c r="I360" s="125"/>
    </row>
    <row r="361">
      <c r="I361" s="125"/>
    </row>
    <row r="362">
      <c r="I362" s="125"/>
    </row>
    <row r="363">
      <c r="I363" s="125"/>
    </row>
    <row r="364">
      <c r="I364" s="125"/>
    </row>
    <row r="365">
      <c r="I365" s="125"/>
    </row>
    <row r="366">
      <c r="I366" s="125"/>
    </row>
    <row r="367">
      <c r="I367" s="125"/>
    </row>
    <row r="368">
      <c r="I368" s="125"/>
    </row>
    <row r="369">
      <c r="I369" s="125"/>
    </row>
    <row r="370">
      <c r="I370" s="125"/>
    </row>
    <row r="371">
      <c r="I371" s="125"/>
    </row>
    <row r="372">
      <c r="I372" s="125"/>
    </row>
    <row r="373">
      <c r="I373" s="125"/>
    </row>
    <row r="374">
      <c r="I374" s="125"/>
    </row>
    <row r="375">
      <c r="I375" s="125"/>
    </row>
    <row r="376">
      <c r="I376" s="125"/>
    </row>
    <row r="377">
      <c r="I377" s="125"/>
    </row>
    <row r="378">
      <c r="I378" s="125"/>
    </row>
    <row r="379">
      <c r="I379" s="125"/>
    </row>
    <row r="380">
      <c r="I380" s="125"/>
    </row>
    <row r="381">
      <c r="I381" s="125"/>
    </row>
    <row r="382">
      <c r="I382" s="125"/>
    </row>
    <row r="383">
      <c r="I383" s="125"/>
    </row>
    <row r="384">
      <c r="I384" s="125"/>
    </row>
    <row r="385">
      <c r="I385" s="125"/>
    </row>
    <row r="386">
      <c r="I386" s="125"/>
    </row>
    <row r="387">
      <c r="I387" s="125"/>
    </row>
    <row r="388">
      <c r="I388" s="125"/>
    </row>
    <row r="389">
      <c r="I389" s="125"/>
    </row>
    <row r="390">
      <c r="I390" s="125"/>
    </row>
    <row r="391">
      <c r="I391" s="125"/>
    </row>
    <row r="392">
      <c r="I392" s="125"/>
    </row>
    <row r="393">
      <c r="I393" s="125"/>
    </row>
    <row r="394">
      <c r="I394" s="125"/>
    </row>
    <row r="395">
      <c r="I395" s="125"/>
    </row>
    <row r="396">
      <c r="I396" s="125"/>
    </row>
    <row r="397">
      <c r="I397" s="125"/>
    </row>
    <row r="398">
      <c r="I398" s="125"/>
    </row>
    <row r="399">
      <c r="I399" s="125"/>
    </row>
    <row r="400">
      <c r="I400" s="125"/>
    </row>
    <row r="401">
      <c r="I401" s="125"/>
    </row>
    <row r="402">
      <c r="I402" s="125"/>
    </row>
    <row r="403">
      <c r="I403" s="125"/>
    </row>
    <row r="404">
      <c r="I404" s="125"/>
    </row>
    <row r="405">
      <c r="I405" s="125"/>
    </row>
    <row r="406">
      <c r="I406" s="125"/>
    </row>
    <row r="407">
      <c r="I407" s="125"/>
    </row>
    <row r="408">
      <c r="I408" s="125"/>
    </row>
    <row r="409">
      <c r="I409" s="125"/>
    </row>
    <row r="410">
      <c r="I410" s="125"/>
    </row>
    <row r="411">
      <c r="I411" s="125"/>
    </row>
    <row r="412">
      <c r="I412" s="125"/>
    </row>
    <row r="413">
      <c r="I413" s="125"/>
    </row>
    <row r="414">
      <c r="I414" s="125"/>
    </row>
    <row r="415">
      <c r="I415" s="125"/>
    </row>
    <row r="416">
      <c r="I416" s="125"/>
    </row>
    <row r="417">
      <c r="I417" s="125"/>
    </row>
    <row r="418">
      <c r="I418" s="125"/>
    </row>
    <row r="419">
      <c r="I419" s="125"/>
    </row>
    <row r="420">
      <c r="I420" s="125"/>
    </row>
    <row r="421">
      <c r="I421" s="125"/>
    </row>
    <row r="422">
      <c r="I422" s="125"/>
    </row>
    <row r="423">
      <c r="I423" s="125"/>
    </row>
    <row r="424">
      <c r="I424" s="125"/>
    </row>
    <row r="425">
      <c r="I425" s="125"/>
    </row>
    <row r="426">
      <c r="I426" s="125"/>
    </row>
    <row r="427">
      <c r="I427" s="125"/>
    </row>
    <row r="428">
      <c r="I428" s="125"/>
    </row>
    <row r="429">
      <c r="I429" s="125"/>
    </row>
    <row r="430">
      <c r="I430" s="125"/>
    </row>
    <row r="431">
      <c r="I431" s="125"/>
    </row>
    <row r="432">
      <c r="I432" s="125"/>
    </row>
    <row r="433">
      <c r="I433" s="125"/>
    </row>
    <row r="434">
      <c r="I434" s="125"/>
    </row>
    <row r="435">
      <c r="I435" s="125"/>
    </row>
    <row r="436">
      <c r="I436" s="125"/>
    </row>
    <row r="437">
      <c r="I437" s="125"/>
    </row>
    <row r="438">
      <c r="I438" s="125"/>
    </row>
    <row r="439">
      <c r="I439" s="125"/>
    </row>
    <row r="440">
      <c r="I440" s="125"/>
    </row>
    <row r="441">
      <c r="I441" s="125"/>
    </row>
    <row r="442">
      <c r="I442" s="125"/>
    </row>
    <row r="443">
      <c r="I443" s="125"/>
    </row>
    <row r="444">
      <c r="I444" s="125"/>
    </row>
    <row r="445">
      <c r="I445" s="125"/>
    </row>
    <row r="446">
      <c r="I446" s="125"/>
    </row>
    <row r="447">
      <c r="I447" s="125"/>
    </row>
    <row r="448">
      <c r="I448" s="125"/>
    </row>
    <row r="449">
      <c r="I449" s="125"/>
    </row>
    <row r="450">
      <c r="I450" s="125"/>
    </row>
    <row r="451">
      <c r="I451" s="125"/>
    </row>
    <row r="452">
      <c r="I452" s="125"/>
    </row>
    <row r="453">
      <c r="I453" s="125"/>
    </row>
    <row r="454">
      <c r="I454" s="125"/>
    </row>
    <row r="455">
      <c r="I455" s="125"/>
    </row>
    <row r="456">
      <c r="I456" s="125"/>
    </row>
    <row r="457">
      <c r="I457" s="125"/>
    </row>
    <row r="458">
      <c r="I458" s="125"/>
    </row>
    <row r="459">
      <c r="I459" s="125"/>
    </row>
    <row r="460">
      <c r="I460" s="125"/>
    </row>
    <row r="461">
      <c r="I461" s="125"/>
    </row>
    <row r="462">
      <c r="I462" s="125"/>
    </row>
    <row r="463">
      <c r="I463" s="125"/>
    </row>
    <row r="464">
      <c r="I464" s="125"/>
    </row>
    <row r="465">
      <c r="I465" s="125"/>
    </row>
    <row r="466">
      <c r="I466" s="125"/>
    </row>
    <row r="467">
      <c r="I467" s="125"/>
    </row>
    <row r="468">
      <c r="I468" s="125"/>
    </row>
    <row r="469">
      <c r="I469" s="125"/>
    </row>
    <row r="470">
      <c r="I470" s="125"/>
    </row>
    <row r="471">
      <c r="I471" s="125"/>
    </row>
    <row r="472">
      <c r="I472" s="125"/>
    </row>
    <row r="473">
      <c r="I473" s="125"/>
    </row>
    <row r="474">
      <c r="I474" s="125"/>
    </row>
    <row r="475">
      <c r="I475" s="125"/>
    </row>
    <row r="476">
      <c r="I476" s="125"/>
    </row>
    <row r="477">
      <c r="I477" s="125"/>
    </row>
    <row r="478">
      <c r="I478" s="125"/>
    </row>
    <row r="479">
      <c r="I479" s="125"/>
    </row>
    <row r="480">
      <c r="I480" s="125"/>
    </row>
    <row r="481">
      <c r="I481" s="125"/>
    </row>
    <row r="482">
      <c r="I482" s="125"/>
    </row>
    <row r="483">
      <c r="I483" s="125"/>
    </row>
    <row r="484">
      <c r="I484" s="125"/>
    </row>
    <row r="485">
      <c r="I485" s="125"/>
    </row>
    <row r="486">
      <c r="I486" s="125"/>
    </row>
    <row r="487">
      <c r="I487" s="125"/>
    </row>
    <row r="488">
      <c r="I488" s="125"/>
    </row>
    <row r="489">
      <c r="I489" s="125"/>
    </row>
    <row r="490">
      <c r="I490" s="125"/>
    </row>
    <row r="491">
      <c r="I491" s="125"/>
    </row>
    <row r="492">
      <c r="I492" s="125"/>
    </row>
    <row r="493">
      <c r="I493" s="125"/>
    </row>
    <row r="494">
      <c r="I494" s="125"/>
    </row>
    <row r="495">
      <c r="I495" s="125"/>
    </row>
    <row r="496">
      <c r="I496" s="125"/>
    </row>
    <row r="497">
      <c r="I497" s="125"/>
    </row>
    <row r="498">
      <c r="I498" s="125"/>
    </row>
    <row r="499">
      <c r="I499" s="125"/>
    </row>
    <row r="500">
      <c r="I500" s="125"/>
    </row>
    <row r="501">
      <c r="I501" s="125"/>
    </row>
    <row r="502">
      <c r="I502" s="125"/>
    </row>
    <row r="503">
      <c r="I503" s="125"/>
    </row>
    <row r="504">
      <c r="I504" s="125"/>
    </row>
    <row r="505">
      <c r="I505" s="125"/>
    </row>
    <row r="506">
      <c r="I506" s="125"/>
    </row>
    <row r="507">
      <c r="I507" s="125"/>
    </row>
    <row r="508">
      <c r="I508" s="125"/>
    </row>
    <row r="509">
      <c r="I509" s="125"/>
    </row>
    <row r="510">
      <c r="I510" s="125"/>
    </row>
    <row r="511">
      <c r="I511" s="125"/>
    </row>
    <row r="512">
      <c r="I512" s="125"/>
    </row>
    <row r="513">
      <c r="I513" s="125"/>
    </row>
    <row r="514">
      <c r="I514" s="125"/>
    </row>
    <row r="515">
      <c r="I515" s="125"/>
    </row>
    <row r="516">
      <c r="I516" s="125"/>
    </row>
    <row r="517">
      <c r="I517" s="125"/>
    </row>
    <row r="518">
      <c r="I518" s="125"/>
    </row>
    <row r="519">
      <c r="I519" s="125"/>
    </row>
    <row r="520">
      <c r="I520" s="125"/>
    </row>
    <row r="521">
      <c r="I521" s="125"/>
    </row>
    <row r="522">
      <c r="I522" s="125"/>
    </row>
    <row r="523">
      <c r="I523" s="125"/>
    </row>
    <row r="524">
      <c r="I524" s="125"/>
    </row>
    <row r="525">
      <c r="I525" s="125"/>
    </row>
    <row r="526">
      <c r="I526" s="125"/>
    </row>
    <row r="527">
      <c r="I527" s="125"/>
    </row>
    <row r="528">
      <c r="I528" s="125"/>
    </row>
    <row r="529">
      <c r="I529" s="125"/>
    </row>
    <row r="530">
      <c r="I530" s="125"/>
    </row>
    <row r="531">
      <c r="I531" s="125"/>
    </row>
    <row r="532">
      <c r="I532" s="125"/>
    </row>
    <row r="533">
      <c r="I533" s="125"/>
    </row>
    <row r="534">
      <c r="I534" s="125"/>
    </row>
    <row r="535">
      <c r="I535" s="125"/>
    </row>
    <row r="536">
      <c r="I536" s="125"/>
    </row>
    <row r="537">
      <c r="I537" s="125"/>
    </row>
    <row r="538">
      <c r="I538" s="125"/>
    </row>
    <row r="539">
      <c r="I539" s="125"/>
    </row>
    <row r="540">
      <c r="I540" s="125"/>
    </row>
    <row r="541">
      <c r="I541" s="125"/>
    </row>
    <row r="542">
      <c r="I542" s="125"/>
    </row>
    <row r="543">
      <c r="I543" s="125"/>
    </row>
    <row r="544">
      <c r="I544" s="125"/>
    </row>
    <row r="545">
      <c r="I545" s="125"/>
    </row>
    <row r="546">
      <c r="I546" s="125"/>
    </row>
    <row r="547">
      <c r="I547" s="125"/>
    </row>
    <row r="548">
      <c r="I548" s="125"/>
    </row>
    <row r="549">
      <c r="I549" s="125"/>
    </row>
    <row r="550">
      <c r="I550" s="125"/>
    </row>
    <row r="551">
      <c r="I551" s="125"/>
    </row>
    <row r="552">
      <c r="I552" s="125"/>
    </row>
    <row r="553">
      <c r="I553" s="125"/>
    </row>
    <row r="554">
      <c r="I554" s="125"/>
    </row>
    <row r="555">
      <c r="I555" s="125"/>
    </row>
    <row r="556">
      <c r="I556" s="125"/>
    </row>
    <row r="557">
      <c r="I557" s="125"/>
    </row>
    <row r="558">
      <c r="I558" s="125"/>
    </row>
    <row r="559">
      <c r="I559" s="125"/>
    </row>
    <row r="560">
      <c r="I560" s="125"/>
    </row>
    <row r="561">
      <c r="I561" s="125"/>
    </row>
    <row r="562">
      <c r="I562" s="125"/>
    </row>
    <row r="563">
      <c r="I563" s="125"/>
    </row>
    <row r="564">
      <c r="I564" s="125"/>
    </row>
    <row r="565">
      <c r="I565" s="125"/>
    </row>
    <row r="566">
      <c r="I566" s="125"/>
    </row>
    <row r="567">
      <c r="I567" s="125"/>
    </row>
    <row r="568">
      <c r="I568" s="125"/>
    </row>
    <row r="569">
      <c r="I569" s="125"/>
    </row>
    <row r="570">
      <c r="I570" s="125"/>
    </row>
    <row r="571">
      <c r="I571" s="125"/>
    </row>
    <row r="572">
      <c r="I572" s="125"/>
    </row>
    <row r="573">
      <c r="I573" s="125"/>
    </row>
    <row r="574">
      <c r="I574" s="125"/>
    </row>
    <row r="575">
      <c r="I575" s="125"/>
    </row>
    <row r="576">
      <c r="I576" s="125"/>
    </row>
    <row r="577">
      <c r="I577" s="125"/>
    </row>
    <row r="578">
      <c r="I578" s="125"/>
    </row>
    <row r="579">
      <c r="I579" s="125"/>
    </row>
    <row r="580">
      <c r="I580" s="125"/>
    </row>
    <row r="581">
      <c r="I581" s="125"/>
    </row>
    <row r="582">
      <c r="I582" s="125"/>
    </row>
    <row r="583">
      <c r="I583" s="125"/>
    </row>
    <row r="584">
      <c r="I584" s="125"/>
    </row>
    <row r="585">
      <c r="I585" s="125"/>
    </row>
    <row r="586">
      <c r="I586" s="125"/>
    </row>
    <row r="587">
      <c r="I587" s="125"/>
    </row>
    <row r="588">
      <c r="I588" s="125"/>
    </row>
    <row r="589">
      <c r="I589" s="125"/>
    </row>
    <row r="590">
      <c r="I590" s="125"/>
    </row>
    <row r="591">
      <c r="I591" s="125"/>
    </row>
    <row r="592">
      <c r="I592" s="125"/>
    </row>
    <row r="593">
      <c r="I593" s="125"/>
    </row>
    <row r="594">
      <c r="I594" s="125"/>
    </row>
    <row r="595">
      <c r="I595" s="125"/>
    </row>
    <row r="596">
      <c r="I596" s="125"/>
    </row>
    <row r="597">
      <c r="I597" s="125"/>
    </row>
    <row r="598">
      <c r="I598" s="125"/>
    </row>
    <row r="599">
      <c r="I599" s="125"/>
    </row>
    <row r="600">
      <c r="I600" s="125"/>
    </row>
    <row r="601">
      <c r="I601" s="125"/>
    </row>
  </sheetData>
  <autoFilter ref="$A$29:$Z$156"/>
  <customSheetViews>
    <customSheetView guid="{D61DFE75-686C-40C9-B863-8FEFD1C8199A}" filter="1" showAutoFilter="1">
      <autoFilter ref="$A$29:$Z$192"/>
    </customSheetView>
  </customSheetView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2.88"/>
    <col customWidth="1" min="2" max="2" width="15.38"/>
    <col customWidth="1" min="3" max="3" width="26.88"/>
    <col customWidth="1" min="4" max="5" width="23.63"/>
    <col customWidth="1" min="6" max="6" width="23.0"/>
    <col customWidth="1" min="7" max="7" width="19.75"/>
    <col customWidth="1" min="8" max="8" width="14.5"/>
    <col customWidth="1" min="9" max="10" width="26.63"/>
    <col customWidth="1" min="11" max="11" width="25.63"/>
    <col customWidth="1" min="13" max="13" width="38.25"/>
    <col customWidth="1" min="14" max="14" width="24.88"/>
  </cols>
  <sheetData>
    <row r="1">
      <c r="A1" s="2" t="s">
        <v>341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106"/>
      <c r="D2" s="6"/>
      <c r="E2" s="6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3</v>
      </c>
      <c r="B3" s="9" t="s">
        <v>315</v>
      </c>
      <c r="C3" s="108" t="s">
        <v>6</v>
      </c>
      <c r="D3" s="112" t="s">
        <v>16</v>
      </c>
      <c r="E3" s="15" t="s">
        <v>11</v>
      </c>
      <c r="F3" s="109" t="s">
        <v>316</v>
      </c>
      <c r="G3" s="109" t="s">
        <v>317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0" t="s">
        <v>13</v>
      </c>
      <c r="B4" s="98"/>
      <c r="C4" s="98"/>
      <c r="D4" s="111"/>
      <c r="E4" s="111">
        <f t="shared" ref="E4:E26" si="1">B4+C4+D4</f>
        <v>0</v>
      </c>
      <c r="F4" s="53"/>
      <c r="G4" s="20"/>
    </row>
    <row r="5">
      <c r="A5" s="20" t="s">
        <v>110</v>
      </c>
      <c r="B5" s="98"/>
      <c r="C5" s="98"/>
      <c r="D5" s="111"/>
      <c r="E5" s="111">
        <f t="shared" si="1"/>
        <v>0</v>
      </c>
      <c r="F5" s="53"/>
      <c r="G5" s="20"/>
    </row>
    <row r="6">
      <c r="A6" s="20" t="s">
        <v>112</v>
      </c>
      <c r="B6" s="98"/>
      <c r="C6" s="98"/>
      <c r="D6" s="111"/>
      <c r="E6" s="111">
        <f t="shared" si="1"/>
        <v>0</v>
      </c>
      <c r="F6" s="98"/>
      <c r="G6" s="20"/>
    </row>
    <row r="7">
      <c r="A7" s="20" t="s">
        <v>308</v>
      </c>
      <c r="B7" s="98"/>
      <c r="C7" s="98"/>
      <c r="D7" s="111"/>
      <c r="E7" s="111">
        <f t="shared" si="1"/>
        <v>0</v>
      </c>
      <c r="F7" s="20"/>
      <c r="G7" s="20"/>
    </row>
    <row r="8">
      <c r="A8" s="20" t="s">
        <v>133</v>
      </c>
      <c r="B8" s="98"/>
      <c r="C8" s="98"/>
      <c r="D8" s="111"/>
      <c r="E8" s="111">
        <f t="shared" si="1"/>
        <v>0</v>
      </c>
      <c r="F8" s="111"/>
      <c r="G8" s="53"/>
    </row>
    <row r="9">
      <c r="A9" s="20" t="s">
        <v>126</v>
      </c>
      <c r="B9" s="98"/>
      <c r="C9" s="98"/>
      <c r="D9" s="48"/>
      <c r="E9" s="111">
        <f t="shared" si="1"/>
        <v>0</v>
      </c>
      <c r="F9" s="98"/>
      <c r="G9" s="98"/>
    </row>
    <row r="10">
      <c r="A10" s="20" t="s">
        <v>143</v>
      </c>
      <c r="B10" s="98"/>
      <c r="C10" s="98"/>
      <c r="D10" s="48"/>
      <c r="E10" s="111">
        <f t="shared" si="1"/>
        <v>0</v>
      </c>
      <c r="F10" s="98"/>
      <c r="G10" s="53"/>
    </row>
    <row r="11">
      <c r="A11" s="20" t="s">
        <v>150</v>
      </c>
      <c r="B11" s="98"/>
      <c r="C11" s="98"/>
      <c r="D11" s="48"/>
      <c r="E11" s="111">
        <f t="shared" si="1"/>
        <v>0</v>
      </c>
      <c r="F11" s="98"/>
      <c r="G11" s="53"/>
    </row>
    <row r="12">
      <c r="A12" s="20" t="s">
        <v>152</v>
      </c>
      <c r="B12" s="98"/>
      <c r="C12" s="98"/>
      <c r="D12" s="48"/>
      <c r="E12" s="111">
        <f t="shared" si="1"/>
        <v>0</v>
      </c>
      <c r="F12" s="98"/>
      <c r="G12" s="53"/>
    </row>
    <row r="13">
      <c r="A13" s="20" t="s">
        <v>81</v>
      </c>
      <c r="B13" s="98"/>
      <c r="C13" s="98"/>
      <c r="D13" s="48"/>
      <c r="E13" s="111">
        <f t="shared" si="1"/>
        <v>0</v>
      </c>
      <c r="F13" s="98"/>
      <c r="G13" s="53"/>
    </row>
    <row r="14">
      <c r="A14" s="20" t="s">
        <v>174</v>
      </c>
      <c r="B14" s="98"/>
      <c r="C14" s="98"/>
      <c r="D14" s="48"/>
      <c r="E14" s="111">
        <f t="shared" si="1"/>
        <v>0</v>
      </c>
      <c r="F14" s="98"/>
      <c r="G14" s="53"/>
    </row>
    <row r="15">
      <c r="A15" s="20" t="s">
        <v>176</v>
      </c>
      <c r="B15" s="98"/>
      <c r="C15" s="98"/>
      <c r="D15" s="48"/>
      <c r="E15" s="111">
        <f t="shared" si="1"/>
        <v>0</v>
      </c>
      <c r="G15" s="53"/>
    </row>
    <row r="16">
      <c r="A16" s="20" t="s">
        <v>178</v>
      </c>
      <c r="B16" s="98"/>
      <c r="C16" s="98"/>
      <c r="D16" s="48"/>
      <c r="E16" s="111">
        <f t="shared" si="1"/>
        <v>0</v>
      </c>
      <c r="F16" s="98"/>
      <c r="G16" s="98"/>
    </row>
    <row r="17">
      <c r="A17" s="20" t="s">
        <v>96</v>
      </c>
      <c r="B17" s="98"/>
      <c r="C17" s="98"/>
      <c r="D17" s="48"/>
      <c r="E17" s="111">
        <f t="shared" si="1"/>
        <v>0</v>
      </c>
      <c r="F17" s="98"/>
      <c r="G17" s="53"/>
    </row>
    <row r="18">
      <c r="A18" s="20" t="s">
        <v>312</v>
      </c>
      <c r="B18" s="98"/>
      <c r="C18" s="98"/>
      <c r="D18" s="111"/>
      <c r="E18" s="111">
        <f t="shared" si="1"/>
        <v>0</v>
      </c>
      <c r="F18" s="98"/>
      <c r="G18" s="53"/>
    </row>
    <row r="19">
      <c r="A19" s="20" t="s">
        <v>215</v>
      </c>
      <c r="B19" s="98"/>
      <c r="C19" s="98"/>
      <c r="D19" s="48"/>
      <c r="E19" s="111">
        <f t="shared" si="1"/>
        <v>0</v>
      </c>
      <c r="F19" s="20"/>
      <c r="G19" s="53"/>
    </row>
    <row r="20">
      <c r="A20" s="20" t="s">
        <v>285</v>
      </c>
      <c r="B20" s="98"/>
      <c r="C20" s="98"/>
      <c r="D20" s="48"/>
      <c r="E20" s="111">
        <f t="shared" si="1"/>
        <v>0</v>
      </c>
      <c r="F20" s="98"/>
      <c r="G20" s="53"/>
    </row>
    <row r="21">
      <c r="A21" s="20" t="s">
        <v>88</v>
      </c>
      <c r="B21" s="98"/>
      <c r="C21" s="98"/>
      <c r="D21" s="48"/>
      <c r="E21" s="111">
        <f t="shared" si="1"/>
        <v>0</v>
      </c>
      <c r="F21" s="98"/>
      <c r="G21" s="53"/>
    </row>
    <row r="22">
      <c r="A22" s="20" t="s">
        <v>261</v>
      </c>
      <c r="B22" s="98"/>
      <c r="C22" s="98"/>
      <c r="D22" s="48"/>
      <c r="E22" s="111">
        <f t="shared" si="1"/>
        <v>0</v>
      </c>
      <c r="F22" s="98"/>
      <c r="G22" s="53"/>
    </row>
    <row r="23">
      <c r="A23" s="20" t="s">
        <v>269</v>
      </c>
      <c r="B23" s="98"/>
      <c r="C23" s="98"/>
      <c r="D23" s="48"/>
      <c r="E23" s="111">
        <f t="shared" si="1"/>
        <v>0</v>
      </c>
      <c r="F23" s="98"/>
      <c r="G23" s="53"/>
    </row>
    <row r="24">
      <c r="A24" s="20" t="s">
        <v>271</v>
      </c>
      <c r="B24" s="98"/>
      <c r="C24" s="98"/>
      <c r="D24" s="48"/>
      <c r="E24" s="111">
        <f t="shared" si="1"/>
        <v>0</v>
      </c>
      <c r="F24" s="98"/>
      <c r="G24" s="53"/>
    </row>
    <row r="25">
      <c r="A25" s="20" t="s">
        <v>313</v>
      </c>
      <c r="B25" s="98"/>
      <c r="C25" s="98"/>
      <c r="D25" s="48"/>
      <c r="E25" s="111">
        <f t="shared" si="1"/>
        <v>0</v>
      </c>
      <c r="F25" s="98"/>
      <c r="G25" s="98"/>
    </row>
    <row r="26">
      <c r="A26" s="46" t="s">
        <v>11</v>
      </c>
      <c r="B26" s="48">
        <f t="shared" ref="B26:D26" si="2">SUM(B4:B25)</f>
        <v>0</v>
      </c>
      <c r="C26" s="48">
        <f t="shared" si="2"/>
        <v>0</v>
      </c>
      <c r="D26" s="48">
        <f t="shared" si="2"/>
        <v>0</v>
      </c>
      <c r="E26" s="111">
        <f t="shared" si="1"/>
        <v>0</v>
      </c>
      <c r="F26" s="48">
        <f t="shared" ref="F26:G26" si="3">SUM(F4:F25)</f>
        <v>0</v>
      </c>
      <c r="G26" s="118">
        <f t="shared" si="3"/>
        <v>0</v>
      </c>
    </row>
    <row r="32" ht="20.25" customHeight="1">
      <c r="A32" s="49" t="s">
        <v>50</v>
      </c>
      <c r="B32" s="49" t="s">
        <v>51</v>
      </c>
      <c r="C32" s="49" t="s">
        <v>52</v>
      </c>
      <c r="D32" s="49" t="s">
        <v>53</v>
      </c>
      <c r="E32" s="50" t="s">
        <v>54</v>
      </c>
      <c r="F32" s="49" t="s">
        <v>55</v>
      </c>
      <c r="G32" s="49" t="s">
        <v>56</v>
      </c>
      <c r="H32" s="49" t="s">
        <v>320</v>
      </c>
      <c r="I32" s="50" t="s">
        <v>321</v>
      </c>
    </row>
    <row r="33">
      <c r="A33" s="133"/>
      <c r="B33" s="134"/>
      <c r="C33" s="134"/>
      <c r="D33" s="134"/>
      <c r="E33" s="134"/>
      <c r="F33" s="134"/>
      <c r="G33" s="135"/>
      <c r="H33" s="136"/>
      <c r="I33" s="137"/>
    </row>
    <row r="34">
      <c r="A34" s="133"/>
      <c r="B34" s="134"/>
      <c r="C34" s="134"/>
      <c r="D34" s="134"/>
      <c r="E34" s="134"/>
      <c r="F34" s="134"/>
      <c r="G34" s="135"/>
      <c r="H34" s="136"/>
      <c r="I34" s="137"/>
    </row>
    <row r="35">
      <c r="A35" s="133"/>
      <c r="B35" s="134"/>
      <c r="C35" s="134"/>
      <c r="D35" s="134"/>
      <c r="E35" s="134"/>
      <c r="F35" s="134"/>
      <c r="G35" s="135"/>
      <c r="H35" s="136"/>
      <c r="I35" s="137"/>
    </row>
    <row r="36">
      <c r="A36" s="133"/>
      <c r="B36" s="134"/>
      <c r="C36" s="134"/>
      <c r="D36" s="134"/>
      <c r="E36" s="134"/>
      <c r="F36" s="134"/>
      <c r="G36" s="135"/>
      <c r="H36" s="136"/>
      <c r="I36" s="137"/>
    </row>
    <row r="37">
      <c r="A37" s="133"/>
      <c r="B37" s="134"/>
      <c r="C37" s="134"/>
      <c r="D37" s="134"/>
      <c r="E37" s="134"/>
      <c r="F37" s="134"/>
      <c r="G37" s="135"/>
      <c r="H37" s="136"/>
      <c r="I37" s="137"/>
    </row>
    <row r="38">
      <c r="A38" s="133"/>
      <c r="B38" s="134"/>
      <c r="C38" s="134"/>
      <c r="D38" s="134"/>
      <c r="E38" s="134"/>
      <c r="F38" s="134"/>
      <c r="G38" s="135"/>
      <c r="H38" s="136"/>
      <c r="I38" s="137"/>
    </row>
    <row r="39">
      <c r="A39" s="133"/>
      <c r="B39" s="134"/>
      <c r="C39" s="134"/>
      <c r="D39" s="134"/>
      <c r="E39" s="134"/>
      <c r="F39" s="134"/>
      <c r="G39" s="135"/>
      <c r="H39" s="136"/>
      <c r="I39" s="137"/>
    </row>
    <row r="40">
      <c r="A40" s="133"/>
      <c r="B40" s="134"/>
      <c r="C40" s="134"/>
      <c r="D40" s="134"/>
      <c r="E40" s="134"/>
      <c r="F40" s="134"/>
      <c r="G40" s="135"/>
      <c r="H40" s="136"/>
      <c r="I40" s="137"/>
    </row>
    <row r="41">
      <c r="A41" s="133"/>
      <c r="B41" s="134"/>
      <c r="C41" s="134"/>
      <c r="D41" s="134"/>
      <c r="E41" s="134"/>
      <c r="F41" s="134"/>
      <c r="G41" s="135"/>
      <c r="H41" s="136"/>
      <c r="I41" s="137"/>
    </row>
    <row r="42">
      <c r="A42" s="133"/>
      <c r="B42" s="134"/>
      <c r="C42" s="134"/>
      <c r="D42" s="134"/>
      <c r="E42" s="134"/>
      <c r="F42" s="134"/>
      <c r="G42" s="135"/>
      <c r="H42" s="136"/>
      <c r="I42" s="137"/>
    </row>
    <row r="43">
      <c r="A43" s="133"/>
      <c r="B43" s="134"/>
      <c r="C43" s="134"/>
      <c r="D43" s="134"/>
      <c r="E43" s="134"/>
      <c r="F43" s="134"/>
      <c r="G43" s="135"/>
      <c r="H43" s="136"/>
      <c r="I43" s="137"/>
    </row>
    <row r="44">
      <c r="A44" s="133"/>
      <c r="B44" s="134"/>
      <c r="C44" s="134"/>
      <c r="D44" s="134"/>
      <c r="E44" s="134"/>
      <c r="F44" s="134"/>
      <c r="G44" s="135"/>
      <c r="H44" s="136"/>
      <c r="I44" s="137"/>
    </row>
    <row r="45">
      <c r="A45" s="133"/>
      <c r="B45" s="134"/>
      <c r="C45" s="134"/>
      <c r="D45" s="134"/>
      <c r="E45" s="134"/>
      <c r="F45" s="134"/>
      <c r="G45" s="135"/>
      <c r="H45" s="136"/>
      <c r="I45" s="137"/>
    </row>
    <row r="46">
      <c r="A46" s="133"/>
      <c r="B46" s="134"/>
      <c r="C46" s="134"/>
      <c r="D46" s="134"/>
      <c r="E46" s="134"/>
      <c r="F46" s="134"/>
      <c r="G46" s="135"/>
      <c r="H46" s="136"/>
      <c r="I46" s="137"/>
    </row>
    <row r="47">
      <c r="A47" s="133"/>
      <c r="B47" s="134"/>
      <c r="C47" s="134"/>
      <c r="D47" s="134"/>
      <c r="E47" s="134"/>
      <c r="F47" s="134"/>
      <c r="G47" s="135"/>
      <c r="H47" s="136"/>
      <c r="I47" s="137"/>
    </row>
    <row r="48">
      <c r="A48" s="133"/>
      <c r="B48" s="134"/>
      <c r="C48" s="134"/>
      <c r="D48" s="134"/>
      <c r="E48" s="134"/>
      <c r="F48" s="134"/>
      <c r="G48" s="135"/>
      <c r="H48" s="136"/>
      <c r="I48" s="137"/>
    </row>
    <row r="49">
      <c r="A49" s="133"/>
      <c r="B49" s="134"/>
      <c r="C49" s="134"/>
      <c r="D49" s="134"/>
      <c r="E49" s="134"/>
      <c r="F49" s="134"/>
      <c r="G49" s="135"/>
      <c r="H49" s="136"/>
      <c r="I49" s="137"/>
    </row>
    <row r="50">
      <c r="A50" s="133"/>
      <c r="B50" s="134"/>
      <c r="C50" s="134"/>
      <c r="D50" s="134"/>
      <c r="E50" s="134"/>
      <c r="F50" s="134"/>
      <c r="G50" s="135"/>
      <c r="H50" s="136"/>
      <c r="I50" s="137"/>
    </row>
    <row r="51">
      <c r="A51" s="133"/>
      <c r="B51" s="134"/>
      <c r="C51" s="134"/>
      <c r="D51" s="134"/>
      <c r="E51" s="134"/>
      <c r="F51" s="134"/>
      <c r="G51" s="135"/>
      <c r="H51" s="136"/>
      <c r="I51" s="137"/>
    </row>
    <row r="52">
      <c r="A52" s="133"/>
      <c r="B52" s="134"/>
      <c r="C52" s="134"/>
      <c r="D52" s="134"/>
      <c r="E52" s="134"/>
      <c r="F52" s="134"/>
      <c r="G52" s="135"/>
      <c r="H52" s="136"/>
      <c r="I52" s="137"/>
    </row>
    <row r="53">
      <c r="A53" s="133"/>
      <c r="B53" s="134"/>
      <c r="C53" s="134"/>
      <c r="D53" s="134"/>
      <c r="E53" s="134"/>
      <c r="F53" s="134"/>
      <c r="G53" s="135"/>
      <c r="H53" s="136"/>
      <c r="I53" s="137"/>
    </row>
    <row r="54">
      <c r="A54" s="133"/>
      <c r="B54" s="134"/>
      <c r="C54" s="134"/>
      <c r="D54" s="134"/>
      <c r="E54" s="134"/>
      <c r="F54" s="134"/>
      <c r="G54" s="135"/>
      <c r="H54" s="136"/>
      <c r="I54" s="137"/>
    </row>
    <row r="55">
      <c r="A55" s="133"/>
      <c r="B55" s="134"/>
      <c r="C55" s="134"/>
      <c r="D55" s="134"/>
      <c r="E55" s="134"/>
      <c r="F55" s="134"/>
      <c r="G55" s="135"/>
      <c r="H55" s="136"/>
      <c r="I55" s="137"/>
    </row>
    <row r="56">
      <c r="A56" s="133"/>
      <c r="B56" s="134"/>
      <c r="C56" s="134"/>
      <c r="D56" s="134"/>
      <c r="E56" s="134"/>
      <c r="F56" s="134"/>
      <c r="G56" s="135"/>
      <c r="H56" s="136"/>
      <c r="I56" s="137"/>
    </row>
    <row r="57">
      <c r="A57" s="133"/>
      <c r="B57" s="134"/>
      <c r="C57" s="134"/>
      <c r="D57" s="134"/>
      <c r="E57" s="134"/>
      <c r="F57" s="134"/>
      <c r="G57" s="135"/>
      <c r="H57" s="136"/>
      <c r="I57" s="137"/>
    </row>
    <row r="58">
      <c r="A58" s="133"/>
      <c r="B58" s="134"/>
      <c r="C58" s="134"/>
      <c r="D58" s="134"/>
      <c r="E58" s="134"/>
      <c r="F58" s="134"/>
      <c r="G58" s="135"/>
      <c r="H58" s="136"/>
      <c r="I58" s="137"/>
    </row>
    <row r="59">
      <c r="A59" s="133"/>
      <c r="B59" s="134"/>
      <c r="C59" s="134"/>
      <c r="D59" s="134"/>
      <c r="E59" s="134"/>
      <c r="F59" s="134"/>
      <c r="G59" s="135"/>
      <c r="H59" s="136"/>
      <c r="I59" s="137"/>
    </row>
    <row r="60">
      <c r="A60" s="133"/>
      <c r="B60" s="134"/>
      <c r="C60" s="134"/>
      <c r="D60" s="134"/>
      <c r="E60" s="134"/>
      <c r="F60" s="134"/>
      <c r="G60" s="135"/>
      <c r="H60" s="136"/>
      <c r="I60" s="137"/>
    </row>
    <row r="61">
      <c r="A61" s="133"/>
      <c r="B61" s="134"/>
      <c r="C61" s="134"/>
      <c r="D61" s="134"/>
      <c r="E61" s="134"/>
      <c r="F61" s="134"/>
      <c r="G61" s="135"/>
      <c r="H61" s="136"/>
      <c r="I61" s="137"/>
    </row>
    <row r="62">
      <c r="A62" s="133"/>
      <c r="B62" s="134"/>
      <c r="C62" s="134"/>
      <c r="D62" s="134"/>
      <c r="E62" s="134"/>
      <c r="F62" s="134"/>
      <c r="G62" s="135"/>
      <c r="H62" s="136"/>
      <c r="I62" s="137"/>
    </row>
    <row r="63">
      <c r="A63" s="133"/>
      <c r="B63" s="134"/>
      <c r="C63" s="134"/>
      <c r="D63" s="134"/>
      <c r="E63" s="134"/>
      <c r="F63" s="134"/>
      <c r="G63" s="135"/>
      <c r="H63" s="136"/>
      <c r="I63" s="137"/>
    </row>
    <row r="64">
      <c r="A64" s="133"/>
      <c r="B64" s="134"/>
      <c r="C64" s="134"/>
      <c r="D64" s="134"/>
      <c r="E64" s="134"/>
      <c r="F64" s="134"/>
      <c r="G64" s="135"/>
      <c r="H64" s="136"/>
      <c r="I64" s="137"/>
    </row>
    <row r="65">
      <c r="A65" s="133"/>
      <c r="B65" s="134"/>
      <c r="C65" s="134"/>
      <c r="D65" s="134"/>
      <c r="E65" s="134"/>
      <c r="F65" s="134"/>
      <c r="G65" s="135"/>
      <c r="H65" s="136"/>
      <c r="I65" s="137"/>
    </row>
    <row r="66">
      <c r="A66" s="133"/>
      <c r="B66" s="134"/>
      <c r="C66" s="134"/>
      <c r="D66" s="134"/>
      <c r="E66" s="134"/>
      <c r="F66" s="134"/>
      <c r="G66" s="135"/>
      <c r="H66" s="136"/>
      <c r="I66" s="137"/>
    </row>
    <row r="67">
      <c r="A67" s="133"/>
      <c r="B67" s="134"/>
      <c r="C67" s="134"/>
      <c r="D67" s="134"/>
      <c r="E67" s="134"/>
      <c r="F67" s="134"/>
      <c r="G67" s="135"/>
      <c r="H67" s="136"/>
      <c r="I67" s="137"/>
    </row>
    <row r="68">
      <c r="A68" s="133"/>
      <c r="B68" s="134"/>
      <c r="C68" s="134"/>
      <c r="D68" s="134"/>
      <c r="E68" s="134"/>
      <c r="F68" s="134"/>
      <c r="G68" s="135"/>
      <c r="H68" s="136"/>
      <c r="I68" s="137"/>
    </row>
    <row r="69">
      <c r="A69" s="133"/>
      <c r="B69" s="134"/>
      <c r="C69" s="134"/>
      <c r="D69" s="134"/>
      <c r="E69" s="134"/>
      <c r="F69" s="134"/>
      <c r="G69" s="135"/>
      <c r="H69" s="136"/>
      <c r="I69" s="137"/>
    </row>
    <row r="70">
      <c r="A70" s="133"/>
      <c r="B70" s="134"/>
      <c r="C70" s="134"/>
      <c r="D70" s="134"/>
      <c r="E70" s="134"/>
      <c r="F70" s="134"/>
      <c r="G70" s="135"/>
      <c r="H70" s="136"/>
      <c r="I70" s="137"/>
    </row>
    <row r="71">
      <c r="A71" s="133"/>
      <c r="B71" s="134"/>
      <c r="C71" s="134"/>
      <c r="D71" s="134"/>
      <c r="E71" s="134"/>
      <c r="F71" s="134"/>
      <c r="G71" s="135"/>
      <c r="H71" s="136"/>
      <c r="I71" s="137"/>
    </row>
    <row r="72">
      <c r="A72" s="133"/>
      <c r="B72" s="134"/>
      <c r="C72" s="134"/>
      <c r="D72" s="134"/>
      <c r="E72" s="134"/>
      <c r="F72" s="134"/>
      <c r="G72" s="135"/>
      <c r="H72" s="136"/>
      <c r="I72" s="137"/>
    </row>
    <row r="73">
      <c r="A73" s="133"/>
      <c r="B73" s="134"/>
      <c r="C73" s="134"/>
      <c r="D73" s="134"/>
      <c r="E73" s="134"/>
      <c r="F73" s="134"/>
      <c r="G73" s="135"/>
      <c r="H73" s="136"/>
      <c r="I73" s="137"/>
    </row>
    <row r="74">
      <c r="A74" s="133"/>
      <c r="B74" s="134"/>
      <c r="C74" s="134"/>
      <c r="D74" s="134"/>
      <c r="E74" s="134"/>
      <c r="F74" s="134"/>
      <c r="G74" s="135"/>
      <c r="H74" s="136"/>
      <c r="I74" s="137"/>
    </row>
    <row r="75">
      <c r="A75" s="133"/>
      <c r="B75" s="134"/>
      <c r="C75" s="134"/>
      <c r="D75" s="134"/>
      <c r="E75" s="134"/>
      <c r="F75" s="134"/>
      <c r="G75" s="135"/>
      <c r="H75" s="136"/>
      <c r="I75" s="137"/>
    </row>
    <row r="76">
      <c r="A76" s="133"/>
      <c r="B76" s="134"/>
      <c r="C76" s="134"/>
      <c r="D76" s="134"/>
      <c r="E76" s="134"/>
      <c r="F76" s="134"/>
      <c r="G76" s="135"/>
      <c r="H76" s="136"/>
      <c r="I76" s="137"/>
    </row>
    <row r="77">
      <c r="A77" s="133"/>
      <c r="B77" s="134"/>
      <c r="C77" s="134"/>
      <c r="D77" s="134"/>
      <c r="E77" s="134"/>
      <c r="F77" s="134"/>
      <c r="G77" s="135"/>
      <c r="H77" s="136"/>
      <c r="I77" s="137"/>
    </row>
    <row r="78">
      <c r="A78" s="133"/>
      <c r="B78" s="134"/>
      <c r="C78" s="134"/>
      <c r="D78" s="134"/>
      <c r="E78" s="134"/>
      <c r="F78" s="134"/>
      <c r="G78" s="135"/>
      <c r="H78" s="136"/>
      <c r="I78" s="137"/>
    </row>
    <row r="79">
      <c r="A79" s="133"/>
      <c r="B79" s="134"/>
      <c r="C79" s="134"/>
      <c r="D79" s="134"/>
      <c r="E79" s="134"/>
      <c r="F79" s="134"/>
      <c r="G79" s="135"/>
      <c r="H79" s="136"/>
      <c r="I79" s="137"/>
    </row>
    <row r="80">
      <c r="A80" s="133"/>
      <c r="B80" s="134"/>
      <c r="C80" s="134"/>
      <c r="D80" s="134"/>
      <c r="E80" s="134"/>
      <c r="F80" s="134"/>
      <c r="G80" s="135"/>
      <c r="H80" s="136"/>
      <c r="I80" s="137"/>
    </row>
    <row r="81">
      <c r="A81" s="133"/>
      <c r="B81" s="134"/>
      <c r="C81" s="134"/>
      <c r="D81" s="134"/>
      <c r="E81" s="134"/>
      <c r="F81" s="134"/>
      <c r="G81" s="135"/>
      <c r="H81" s="136"/>
      <c r="I81" s="137"/>
    </row>
    <row r="82">
      <c r="A82" s="133"/>
      <c r="B82" s="134"/>
      <c r="C82" s="134"/>
      <c r="D82" s="134"/>
      <c r="E82" s="134"/>
      <c r="F82" s="134"/>
      <c r="G82" s="135"/>
      <c r="H82" s="136"/>
      <c r="I82" s="137"/>
    </row>
    <row r="83">
      <c r="A83" s="133"/>
      <c r="B83" s="134"/>
      <c r="C83" s="134"/>
      <c r="D83" s="134"/>
      <c r="E83" s="134"/>
      <c r="F83" s="134"/>
      <c r="G83" s="135"/>
      <c r="H83" s="136"/>
      <c r="I83" s="137"/>
    </row>
    <row r="84">
      <c r="A84" s="133"/>
      <c r="B84" s="134"/>
      <c r="C84" s="134"/>
      <c r="D84" s="134"/>
      <c r="E84" s="134"/>
      <c r="F84" s="134"/>
      <c r="G84" s="135"/>
      <c r="H84" s="136"/>
      <c r="I84" s="137"/>
    </row>
    <row r="85">
      <c r="A85" s="133"/>
      <c r="B85" s="134"/>
      <c r="C85" s="134"/>
      <c r="D85" s="134"/>
      <c r="E85" s="134"/>
      <c r="F85" s="134"/>
      <c r="G85" s="135"/>
      <c r="H85" s="136"/>
      <c r="I85" s="137"/>
    </row>
    <row r="86">
      <c r="A86" s="133"/>
      <c r="B86" s="134"/>
      <c r="C86" s="134"/>
      <c r="D86" s="134"/>
      <c r="E86" s="134"/>
      <c r="F86" s="134"/>
      <c r="G86" s="135"/>
      <c r="H86" s="136"/>
      <c r="I86" s="137"/>
    </row>
    <row r="87">
      <c r="A87" s="133"/>
      <c r="B87" s="134"/>
      <c r="C87" s="134"/>
      <c r="D87" s="134"/>
      <c r="E87" s="134"/>
      <c r="F87" s="134"/>
      <c r="G87" s="135"/>
      <c r="H87" s="136"/>
      <c r="I87" s="137"/>
    </row>
    <row r="88">
      <c r="A88" s="133"/>
      <c r="B88" s="134"/>
      <c r="C88" s="134"/>
      <c r="D88" s="134"/>
      <c r="E88" s="134"/>
      <c r="F88" s="134"/>
      <c r="G88" s="135"/>
      <c r="H88" s="136"/>
      <c r="I88" s="137"/>
    </row>
    <row r="89">
      <c r="A89" s="133"/>
      <c r="B89" s="134"/>
      <c r="C89" s="134"/>
      <c r="D89" s="134"/>
      <c r="E89" s="134"/>
      <c r="F89" s="134"/>
      <c r="G89" s="135"/>
      <c r="H89" s="136"/>
      <c r="I89" s="137"/>
    </row>
    <row r="90">
      <c r="A90" s="133"/>
      <c r="B90" s="134"/>
      <c r="C90" s="134"/>
      <c r="D90" s="134"/>
      <c r="E90" s="134"/>
      <c r="F90" s="134"/>
      <c r="G90" s="135"/>
      <c r="H90" s="136"/>
      <c r="I90" s="137"/>
    </row>
    <row r="91">
      <c r="A91" s="133"/>
      <c r="B91" s="134"/>
      <c r="C91" s="134"/>
      <c r="D91" s="134"/>
      <c r="E91" s="134"/>
      <c r="F91" s="134"/>
      <c r="G91" s="135"/>
      <c r="H91" s="136"/>
      <c r="I91" s="137"/>
    </row>
    <row r="92">
      <c r="A92" s="133"/>
      <c r="B92" s="134"/>
      <c r="C92" s="134"/>
      <c r="D92" s="134"/>
      <c r="E92" s="134"/>
      <c r="F92" s="134"/>
      <c r="G92" s="135"/>
      <c r="H92" s="136"/>
      <c r="I92" s="137"/>
    </row>
    <row r="93">
      <c r="A93" s="133"/>
      <c r="B93" s="134"/>
      <c r="C93" s="134"/>
      <c r="D93" s="134"/>
      <c r="E93" s="134"/>
      <c r="F93" s="134"/>
      <c r="G93" s="135"/>
      <c r="H93" s="136"/>
      <c r="I93" s="137"/>
    </row>
    <row r="94">
      <c r="A94" s="133"/>
      <c r="B94" s="134"/>
      <c r="C94" s="134"/>
      <c r="D94" s="134"/>
      <c r="E94" s="134"/>
      <c r="F94" s="134"/>
      <c r="G94" s="135"/>
      <c r="H94" s="136"/>
      <c r="I94" s="137"/>
    </row>
    <row r="95">
      <c r="A95" s="133"/>
      <c r="B95" s="134"/>
      <c r="C95" s="134"/>
      <c r="D95" s="134"/>
      <c r="E95" s="134"/>
      <c r="F95" s="134"/>
      <c r="G95" s="135"/>
      <c r="H95" s="136"/>
      <c r="I95" s="137"/>
    </row>
    <row r="96">
      <c r="A96" s="133"/>
      <c r="B96" s="134"/>
      <c r="C96" s="134"/>
      <c r="D96" s="134"/>
      <c r="E96" s="134"/>
      <c r="F96" s="134"/>
      <c r="G96" s="135"/>
      <c r="H96" s="136"/>
      <c r="I96" s="137"/>
    </row>
    <row r="97">
      <c r="A97" s="133"/>
      <c r="B97" s="134"/>
      <c r="C97" s="134"/>
      <c r="D97" s="134"/>
      <c r="E97" s="134"/>
      <c r="F97" s="134"/>
      <c r="G97" s="135"/>
      <c r="H97" s="136"/>
      <c r="I97" s="137"/>
    </row>
    <row r="98">
      <c r="A98" s="133"/>
      <c r="B98" s="134"/>
      <c r="C98" s="134"/>
      <c r="D98" s="134"/>
      <c r="E98" s="134"/>
      <c r="F98" s="134"/>
      <c r="G98" s="135"/>
      <c r="H98" s="136"/>
      <c r="I98" s="137"/>
    </row>
    <row r="99">
      <c r="A99" s="133"/>
      <c r="B99" s="134"/>
      <c r="C99" s="134"/>
      <c r="D99" s="134"/>
      <c r="E99" s="134"/>
      <c r="F99" s="134"/>
      <c r="G99" s="135"/>
      <c r="H99" s="136"/>
      <c r="I99" s="137"/>
    </row>
    <row r="100">
      <c r="A100" s="133"/>
      <c r="B100" s="134"/>
      <c r="C100" s="134"/>
      <c r="D100" s="134"/>
      <c r="E100" s="134"/>
      <c r="F100" s="134"/>
      <c r="G100" s="135"/>
      <c r="H100" s="136"/>
      <c r="I100" s="137"/>
    </row>
    <row r="101">
      <c r="A101" s="133"/>
      <c r="B101" s="134"/>
      <c r="C101" s="134"/>
      <c r="D101" s="134"/>
      <c r="E101" s="134"/>
      <c r="F101" s="134"/>
      <c r="G101" s="135"/>
      <c r="H101" s="136"/>
      <c r="I101" s="137"/>
    </row>
    <row r="102">
      <c r="A102" s="133"/>
      <c r="B102" s="134"/>
      <c r="C102" s="134"/>
      <c r="D102" s="134"/>
      <c r="E102" s="134"/>
      <c r="F102" s="134"/>
      <c r="G102" s="135"/>
      <c r="H102" s="136"/>
      <c r="I102" s="137"/>
    </row>
    <row r="103">
      <c r="A103" s="133"/>
      <c r="B103" s="134"/>
      <c r="C103" s="134"/>
      <c r="D103" s="134"/>
      <c r="E103" s="134"/>
      <c r="F103" s="134"/>
      <c r="G103" s="135"/>
      <c r="H103" s="136"/>
      <c r="I103" s="137"/>
    </row>
    <row r="104">
      <c r="A104" s="133"/>
      <c r="B104" s="134"/>
      <c r="C104" s="134"/>
      <c r="D104" s="134"/>
      <c r="E104" s="134"/>
      <c r="F104" s="134"/>
      <c r="G104" s="135"/>
      <c r="H104" s="136"/>
      <c r="I104" s="137"/>
    </row>
    <row r="105">
      <c r="A105" s="133"/>
      <c r="B105" s="134"/>
      <c r="C105" s="134"/>
      <c r="D105" s="134"/>
      <c r="E105" s="134"/>
      <c r="F105" s="134"/>
      <c r="G105" s="135"/>
      <c r="H105" s="136"/>
      <c r="I105" s="137"/>
    </row>
    <row r="106">
      <c r="A106" s="133"/>
      <c r="B106" s="134"/>
      <c r="C106" s="134"/>
      <c r="D106" s="134"/>
      <c r="E106" s="134"/>
      <c r="F106" s="134"/>
      <c r="G106" s="135"/>
      <c r="H106" s="136"/>
      <c r="I106" s="137"/>
    </row>
    <row r="107">
      <c r="A107" s="133"/>
      <c r="B107" s="134"/>
      <c r="C107" s="134"/>
      <c r="D107" s="134"/>
      <c r="E107" s="134"/>
      <c r="F107" s="134"/>
      <c r="G107" s="135"/>
      <c r="H107" s="136"/>
      <c r="I107" s="137"/>
    </row>
    <row r="108">
      <c r="A108" s="133"/>
      <c r="B108" s="134"/>
      <c r="C108" s="134"/>
      <c r="D108" s="134"/>
      <c r="E108" s="134"/>
      <c r="F108" s="134"/>
      <c r="G108" s="135"/>
      <c r="H108" s="136"/>
      <c r="I108" s="137"/>
    </row>
    <row r="109">
      <c r="A109" s="133"/>
      <c r="B109" s="134"/>
      <c r="C109" s="134"/>
      <c r="D109" s="134"/>
      <c r="E109" s="134"/>
      <c r="F109" s="134"/>
      <c r="G109" s="135"/>
      <c r="H109" s="136"/>
      <c r="I109" s="137"/>
    </row>
    <row r="110">
      <c r="A110" s="133"/>
      <c r="B110" s="134"/>
      <c r="C110" s="134"/>
      <c r="D110" s="134"/>
      <c r="E110" s="134"/>
      <c r="F110" s="134"/>
      <c r="G110" s="135"/>
      <c r="H110" s="136"/>
      <c r="I110" s="137"/>
    </row>
    <row r="111">
      <c r="A111" s="133"/>
      <c r="B111" s="134"/>
      <c r="C111" s="134"/>
      <c r="D111" s="134"/>
      <c r="E111" s="134"/>
      <c r="F111" s="134"/>
      <c r="G111" s="135"/>
      <c r="H111" s="136"/>
      <c r="I111" s="137"/>
    </row>
    <row r="112">
      <c r="A112" s="133"/>
      <c r="B112" s="134"/>
      <c r="C112" s="134"/>
      <c r="D112" s="134"/>
      <c r="E112" s="134"/>
      <c r="F112" s="134"/>
      <c r="G112" s="135"/>
      <c r="H112" s="136"/>
      <c r="I112" s="137"/>
    </row>
    <row r="113">
      <c r="A113" s="133"/>
      <c r="B113" s="134"/>
      <c r="C113" s="134"/>
      <c r="D113" s="134"/>
      <c r="E113" s="134"/>
      <c r="F113" s="134"/>
      <c r="G113" s="135"/>
      <c r="H113" s="136"/>
      <c r="I113" s="137"/>
    </row>
    <row r="114">
      <c r="A114" s="133"/>
      <c r="B114" s="134"/>
      <c r="C114" s="134"/>
      <c r="D114" s="134"/>
      <c r="E114" s="134"/>
      <c r="F114" s="134"/>
      <c r="G114" s="135"/>
      <c r="H114" s="136"/>
      <c r="I114" s="137"/>
    </row>
    <row r="115">
      <c r="A115" s="133"/>
      <c r="B115" s="134"/>
      <c r="C115" s="134"/>
      <c r="D115" s="134"/>
      <c r="E115" s="134"/>
      <c r="F115" s="134"/>
      <c r="G115" s="135"/>
      <c r="H115" s="136"/>
      <c r="I115" s="137"/>
    </row>
    <row r="116">
      <c r="A116" s="133"/>
      <c r="B116" s="134"/>
      <c r="C116" s="134"/>
      <c r="D116" s="134"/>
      <c r="E116" s="134"/>
      <c r="F116" s="134"/>
      <c r="G116" s="135"/>
      <c r="H116" s="136"/>
      <c r="I116" s="137"/>
    </row>
    <row r="117">
      <c r="A117" s="133"/>
      <c r="B117" s="134"/>
      <c r="C117" s="134"/>
      <c r="D117" s="134"/>
      <c r="E117" s="134"/>
      <c r="F117" s="134"/>
      <c r="G117" s="135"/>
      <c r="H117" s="136"/>
      <c r="I117" s="137"/>
    </row>
    <row r="118">
      <c r="A118" s="133"/>
      <c r="B118" s="134"/>
      <c r="C118" s="134"/>
      <c r="D118" s="134"/>
      <c r="E118" s="134"/>
      <c r="F118" s="134"/>
      <c r="G118" s="135"/>
      <c r="H118" s="136"/>
      <c r="I118" s="137"/>
    </row>
    <row r="119">
      <c r="A119" s="133"/>
      <c r="B119" s="134"/>
      <c r="C119" s="134"/>
      <c r="D119" s="134"/>
      <c r="E119" s="134"/>
      <c r="F119" s="134"/>
      <c r="G119" s="135"/>
      <c r="H119" s="136"/>
      <c r="I119" s="137"/>
    </row>
    <row r="120">
      <c r="A120" s="133"/>
      <c r="B120" s="134"/>
      <c r="C120" s="134"/>
      <c r="D120" s="134"/>
      <c r="E120" s="134"/>
      <c r="F120" s="134"/>
      <c r="G120" s="135"/>
      <c r="H120" s="136"/>
      <c r="I120" s="137"/>
    </row>
    <row r="121">
      <c r="A121" s="133"/>
      <c r="B121" s="134"/>
      <c r="C121" s="134"/>
      <c r="D121" s="134"/>
      <c r="E121" s="134"/>
      <c r="F121" s="134"/>
      <c r="G121" s="135"/>
      <c r="H121" s="136"/>
      <c r="I121" s="137"/>
    </row>
    <row r="122">
      <c r="A122" s="133"/>
      <c r="B122" s="134"/>
      <c r="C122" s="134"/>
      <c r="D122" s="134"/>
      <c r="E122" s="134"/>
      <c r="F122" s="134"/>
      <c r="G122" s="135"/>
      <c r="H122" s="136"/>
      <c r="I122" s="137"/>
    </row>
    <row r="123">
      <c r="A123" s="133"/>
      <c r="B123" s="134"/>
      <c r="C123" s="134"/>
      <c r="D123" s="134"/>
      <c r="E123" s="134"/>
      <c r="F123" s="134"/>
      <c r="G123" s="135"/>
      <c r="H123" s="136"/>
      <c r="I123" s="137"/>
    </row>
    <row r="124">
      <c r="A124" s="133"/>
      <c r="B124" s="134"/>
      <c r="C124" s="134"/>
      <c r="D124" s="134"/>
      <c r="E124" s="134"/>
      <c r="F124" s="134"/>
      <c r="G124" s="135"/>
      <c r="H124" s="136"/>
      <c r="I124" s="137"/>
    </row>
    <row r="125">
      <c r="A125" s="133"/>
      <c r="B125" s="134"/>
      <c r="C125" s="134"/>
      <c r="D125" s="134"/>
      <c r="E125" s="134"/>
      <c r="F125" s="134"/>
      <c r="G125" s="135"/>
      <c r="H125" s="136"/>
      <c r="I125" s="137"/>
    </row>
    <row r="126">
      <c r="A126" s="133"/>
      <c r="B126" s="134"/>
      <c r="C126" s="134"/>
      <c r="D126" s="134"/>
      <c r="E126" s="134"/>
      <c r="F126" s="134"/>
      <c r="G126" s="135"/>
      <c r="H126" s="136"/>
      <c r="I126" s="137"/>
    </row>
    <row r="127">
      <c r="A127" s="133"/>
      <c r="B127" s="134"/>
      <c r="C127" s="134"/>
      <c r="D127" s="134"/>
      <c r="E127" s="134"/>
      <c r="F127" s="134"/>
      <c r="G127" s="135"/>
      <c r="H127" s="136"/>
      <c r="I127" s="137"/>
    </row>
    <row r="128">
      <c r="A128" s="133"/>
      <c r="B128" s="134"/>
      <c r="C128" s="134"/>
      <c r="D128" s="134"/>
      <c r="E128" s="134"/>
      <c r="F128" s="134"/>
      <c r="G128" s="135"/>
      <c r="H128" s="136"/>
      <c r="I128" s="137"/>
    </row>
    <row r="129">
      <c r="A129" s="133"/>
      <c r="B129" s="134"/>
      <c r="C129" s="134"/>
      <c r="D129" s="134"/>
      <c r="E129" s="134"/>
      <c r="F129" s="134"/>
      <c r="G129" s="135"/>
      <c r="H129" s="136"/>
      <c r="I129" s="137"/>
    </row>
    <row r="130">
      <c r="A130" s="133"/>
      <c r="B130" s="134"/>
      <c r="C130" s="134"/>
      <c r="D130" s="134"/>
      <c r="E130" s="134"/>
      <c r="F130" s="134"/>
      <c r="G130" s="135"/>
      <c r="H130" s="136"/>
      <c r="I130" s="137"/>
    </row>
    <row r="131">
      <c r="A131" s="133"/>
      <c r="B131" s="134"/>
      <c r="C131" s="134"/>
      <c r="D131" s="134"/>
      <c r="E131" s="134"/>
      <c r="F131" s="134"/>
      <c r="G131" s="135"/>
      <c r="H131" s="136"/>
      <c r="I131" s="137"/>
    </row>
    <row r="132">
      <c r="A132" s="133"/>
      <c r="B132" s="134"/>
      <c r="C132" s="134"/>
      <c r="D132" s="134"/>
      <c r="E132" s="134"/>
      <c r="F132" s="134"/>
      <c r="G132" s="135"/>
      <c r="H132" s="136"/>
      <c r="I132" s="137"/>
    </row>
    <row r="133">
      <c r="A133" s="133"/>
      <c r="B133" s="134"/>
      <c r="C133" s="134"/>
      <c r="D133" s="134"/>
      <c r="E133" s="134"/>
      <c r="F133" s="134"/>
      <c r="G133" s="135"/>
      <c r="H133" s="136"/>
      <c r="I133" s="137"/>
    </row>
    <row r="134">
      <c r="A134" s="133"/>
      <c r="B134" s="134"/>
      <c r="C134" s="134"/>
      <c r="D134" s="134"/>
      <c r="E134" s="134"/>
      <c r="F134" s="134"/>
      <c r="G134" s="135"/>
      <c r="H134" s="136"/>
      <c r="I134" s="137"/>
    </row>
    <row r="135">
      <c r="A135" s="133"/>
      <c r="B135" s="134"/>
      <c r="C135" s="134"/>
      <c r="D135" s="134"/>
      <c r="E135" s="134"/>
      <c r="F135" s="134"/>
      <c r="G135" s="135"/>
      <c r="H135" s="136"/>
      <c r="I135" s="137"/>
    </row>
    <row r="136">
      <c r="A136" s="133"/>
      <c r="B136" s="134"/>
      <c r="C136" s="134"/>
      <c r="D136" s="134"/>
      <c r="E136" s="134"/>
      <c r="F136" s="134"/>
      <c r="G136" s="135"/>
      <c r="H136" s="136"/>
      <c r="I136" s="137"/>
    </row>
    <row r="137">
      <c r="A137" s="133"/>
      <c r="B137" s="134"/>
      <c r="C137" s="134"/>
      <c r="D137" s="134"/>
      <c r="E137" s="134"/>
      <c r="F137" s="134"/>
      <c r="G137" s="135"/>
      <c r="H137" s="136"/>
      <c r="I137" s="137"/>
    </row>
    <row r="138">
      <c r="A138" s="133"/>
      <c r="B138" s="134"/>
      <c r="C138" s="134"/>
      <c r="D138" s="134"/>
      <c r="E138" s="134"/>
      <c r="F138" s="134"/>
      <c r="G138" s="135"/>
      <c r="H138" s="136"/>
      <c r="I138" s="137"/>
    </row>
    <row r="139">
      <c r="A139" s="133"/>
      <c r="B139" s="134"/>
      <c r="C139" s="134"/>
      <c r="D139" s="134"/>
      <c r="E139" s="134"/>
      <c r="F139" s="134"/>
      <c r="G139" s="135"/>
      <c r="H139" s="136"/>
      <c r="I139" s="137"/>
    </row>
    <row r="140">
      <c r="A140" s="133"/>
      <c r="B140" s="134"/>
      <c r="C140" s="134"/>
      <c r="D140" s="134"/>
      <c r="E140" s="134"/>
      <c r="F140" s="134"/>
      <c r="G140" s="135"/>
      <c r="H140" s="136"/>
      <c r="I140" s="137"/>
    </row>
    <row r="141">
      <c r="A141" s="133"/>
      <c r="B141" s="134"/>
      <c r="C141" s="134"/>
      <c r="D141" s="134"/>
      <c r="E141" s="134"/>
      <c r="F141" s="134"/>
      <c r="G141" s="135"/>
      <c r="H141" s="136"/>
      <c r="I141" s="137"/>
    </row>
    <row r="142">
      <c r="A142" s="133"/>
      <c r="B142" s="134"/>
      <c r="C142" s="134"/>
      <c r="D142" s="134"/>
      <c r="E142" s="134"/>
      <c r="F142" s="134"/>
      <c r="G142" s="135"/>
      <c r="H142" s="136"/>
      <c r="I142" s="137"/>
    </row>
    <row r="143">
      <c r="A143" s="133"/>
      <c r="B143" s="134"/>
      <c r="C143" s="134"/>
      <c r="D143" s="134"/>
      <c r="E143" s="134"/>
      <c r="F143" s="134"/>
      <c r="G143" s="135"/>
      <c r="H143" s="136"/>
      <c r="I143" s="137"/>
    </row>
    <row r="144">
      <c r="A144" s="133"/>
      <c r="B144" s="134"/>
      <c r="C144" s="134"/>
      <c r="D144" s="134"/>
      <c r="E144" s="134"/>
      <c r="F144" s="134"/>
      <c r="G144" s="135"/>
      <c r="H144" s="136"/>
      <c r="I144" s="137"/>
    </row>
    <row r="145">
      <c r="A145" s="133"/>
      <c r="B145" s="134"/>
      <c r="C145" s="134"/>
      <c r="D145" s="134"/>
      <c r="E145" s="134"/>
      <c r="F145" s="134"/>
      <c r="G145" s="135"/>
      <c r="H145" s="136"/>
      <c r="I145" s="137"/>
    </row>
    <row r="146">
      <c r="A146" s="133"/>
      <c r="B146" s="134"/>
      <c r="C146" s="134"/>
      <c r="D146" s="134"/>
      <c r="E146" s="134"/>
      <c r="F146" s="134"/>
      <c r="G146" s="135"/>
      <c r="H146" s="136"/>
      <c r="I146" s="137"/>
    </row>
    <row r="147">
      <c r="A147" s="133"/>
      <c r="B147" s="134"/>
      <c r="C147" s="134"/>
      <c r="D147" s="134"/>
      <c r="E147" s="134"/>
      <c r="F147" s="134"/>
      <c r="G147" s="135"/>
      <c r="H147" s="136"/>
      <c r="I147" s="137"/>
    </row>
    <row r="148">
      <c r="A148" s="133"/>
      <c r="B148" s="134"/>
      <c r="C148" s="134"/>
      <c r="D148" s="134"/>
      <c r="E148" s="134"/>
      <c r="F148" s="134"/>
      <c r="G148" s="135"/>
      <c r="H148" s="136"/>
      <c r="I148" s="137"/>
    </row>
    <row r="149">
      <c r="A149" s="133"/>
      <c r="B149" s="134"/>
      <c r="C149" s="134"/>
      <c r="D149" s="134"/>
      <c r="E149" s="134"/>
      <c r="F149" s="134"/>
      <c r="G149" s="135"/>
      <c r="H149" s="136"/>
      <c r="I149" s="137"/>
    </row>
    <row r="150">
      <c r="A150" s="133"/>
      <c r="B150" s="134"/>
      <c r="C150" s="134"/>
      <c r="D150" s="134"/>
      <c r="E150" s="134"/>
      <c r="F150" s="134"/>
      <c r="G150" s="135"/>
      <c r="H150" s="136"/>
      <c r="I150" s="137"/>
    </row>
    <row r="151">
      <c r="A151" s="133"/>
      <c r="B151" s="134"/>
      <c r="C151" s="134"/>
      <c r="D151" s="134"/>
      <c r="E151" s="134"/>
      <c r="F151" s="134"/>
      <c r="G151" s="135"/>
      <c r="H151" s="136"/>
      <c r="I151" s="137"/>
    </row>
    <row r="152">
      <c r="A152" s="133"/>
      <c r="B152" s="134"/>
      <c r="C152" s="134"/>
      <c r="D152" s="134"/>
      <c r="E152" s="134"/>
      <c r="F152" s="134"/>
      <c r="G152" s="135"/>
      <c r="H152" s="136"/>
      <c r="I152" s="137"/>
    </row>
    <row r="153">
      <c r="A153" s="133"/>
      <c r="B153" s="134"/>
      <c r="C153" s="134"/>
      <c r="D153" s="134"/>
      <c r="E153" s="134"/>
      <c r="F153" s="134"/>
      <c r="G153" s="135"/>
      <c r="H153" s="136"/>
      <c r="I153" s="137"/>
    </row>
    <row r="154">
      <c r="A154" s="133"/>
      <c r="B154" s="134"/>
      <c r="C154" s="134"/>
      <c r="D154" s="134"/>
      <c r="E154" s="134"/>
      <c r="F154" s="134"/>
      <c r="G154" s="135"/>
      <c r="H154" s="136"/>
      <c r="I154" s="137"/>
    </row>
    <row r="155">
      <c r="A155" s="133"/>
      <c r="B155" s="134"/>
      <c r="C155" s="134"/>
      <c r="D155" s="134"/>
      <c r="E155" s="134"/>
      <c r="F155" s="134"/>
      <c r="G155" s="135"/>
      <c r="H155" s="136"/>
      <c r="I155" s="137"/>
    </row>
    <row r="156">
      <c r="A156" s="133"/>
      <c r="B156" s="134"/>
      <c r="C156" s="134"/>
      <c r="D156" s="134"/>
      <c r="E156" s="134"/>
      <c r="F156" s="134"/>
      <c r="G156" s="135"/>
      <c r="H156" s="136"/>
      <c r="I156" s="137"/>
    </row>
    <row r="157">
      <c r="A157" s="133"/>
      <c r="B157" s="134"/>
      <c r="C157" s="134"/>
      <c r="D157" s="134"/>
      <c r="E157" s="134"/>
      <c r="F157" s="134"/>
      <c r="G157" s="135"/>
      <c r="H157" s="136"/>
      <c r="I157" s="137"/>
    </row>
    <row r="158">
      <c r="A158" s="133"/>
      <c r="B158" s="134"/>
      <c r="C158" s="134"/>
      <c r="D158" s="134"/>
      <c r="E158" s="134"/>
      <c r="F158" s="134"/>
      <c r="G158" s="135"/>
      <c r="H158" s="136"/>
      <c r="I158" s="137"/>
    </row>
    <row r="159">
      <c r="A159" s="133"/>
      <c r="B159" s="134"/>
      <c r="C159" s="134"/>
      <c r="D159" s="134"/>
      <c r="E159" s="134"/>
      <c r="F159" s="134"/>
      <c r="G159" s="135"/>
      <c r="H159" s="136"/>
      <c r="I159" s="137"/>
    </row>
    <row r="160">
      <c r="A160" s="133"/>
      <c r="B160" s="134"/>
      <c r="C160" s="134"/>
      <c r="D160" s="134"/>
      <c r="E160" s="134"/>
      <c r="F160" s="134"/>
      <c r="G160" s="135"/>
      <c r="H160" s="136"/>
      <c r="I160" s="137"/>
    </row>
    <row r="161">
      <c r="A161" s="133"/>
      <c r="B161" s="134"/>
      <c r="C161" s="134"/>
      <c r="D161" s="134"/>
      <c r="E161" s="134"/>
      <c r="F161" s="134"/>
      <c r="G161" s="135"/>
      <c r="H161" s="136"/>
      <c r="I161" s="137"/>
    </row>
    <row r="162">
      <c r="A162" s="133"/>
      <c r="B162" s="134"/>
      <c r="C162" s="134"/>
      <c r="D162" s="134"/>
      <c r="E162" s="134"/>
      <c r="F162" s="134"/>
      <c r="G162" s="135"/>
      <c r="H162" s="136"/>
      <c r="I162" s="137"/>
    </row>
    <row r="163">
      <c r="A163" s="133"/>
      <c r="B163" s="134"/>
      <c r="C163" s="134"/>
      <c r="D163" s="134"/>
      <c r="E163" s="134"/>
      <c r="F163" s="134"/>
      <c r="G163" s="135"/>
      <c r="H163" s="136"/>
      <c r="I163" s="137"/>
    </row>
    <row r="164">
      <c r="A164" s="133"/>
      <c r="B164" s="134"/>
      <c r="C164" s="134"/>
      <c r="D164" s="134"/>
      <c r="E164" s="134"/>
      <c r="F164" s="134"/>
      <c r="G164" s="135"/>
      <c r="H164" s="136"/>
      <c r="I164" s="137"/>
    </row>
    <row r="165">
      <c r="A165" s="133"/>
      <c r="B165" s="134"/>
      <c r="C165" s="134"/>
      <c r="D165" s="134"/>
      <c r="E165" s="134"/>
      <c r="F165" s="134"/>
      <c r="G165" s="135"/>
      <c r="H165" s="136"/>
      <c r="I165" s="137"/>
    </row>
    <row r="166">
      <c r="A166" s="133"/>
      <c r="B166" s="134"/>
      <c r="C166" s="134"/>
      <c r="D166" s="134"/>
      <c r="E166" s="134"/>
      <c r="F166" s="134"/>
      <c r="G166" s="135"/>
      <c r="H166" s="136"/>
      <c r="I166" s="137"/>
    </row>
    <row r="167">
      <c r="A167" s="133"/>
      <c r="B167" s="134"/>
      <c r="C167" s="134"/>
      <c r="D167" s="134"/>
      <c r="E167" s="134"/>
      <c r="F167" s="134"/>
      <c r="G167" s="135"/>
      <c r="H167" s="136"/>
      <c r="I167" s="137"/>
    </row>
    <row r="168">
      <c r="A168" s="133"/>
      <c r="B168" s="134"/>
      <c r="C168" s="134"/>
      <c r="D168" s="134"/>
      <c r="E168" s="134"/>
      <c r="F168" s="134"/>
      <c r="G168" s="135"/>
      <c r="H168" s="136"/>
      <c r="I168" s="137"/>
    </row>
    <row r="169">
      <c r="A169" s="133"/>
      <c r="B169" s="134"/>
      <c r="C169" s="134"/>
      <c r="D169" s="134"/>
      <c r="E169" s="134"/>
      <c r="F169" s="134"/>
      <c r="G169" s="135"/>
      <c r="H169" s="136"/>
      <c r="I169" s="137"/>
    </row>
    <row r="170">
      <c r="A170" s="133"/>
      <c r="B170" s="134"/>
      <c r="C170" s="134"/>
      <c r="D170" s="134"/>
      <c r="E170" s="134"/>
      <c r="F170" s="134"/>
      <c r="G170" s="135"/>
      <c r="H170" s="136"/>
      <c r="I170" s="137"/>
    </row>
    <row r="171">
      <c r="A171" s="133"/>
      <c r="B171" s="134"/>
      <c r="C171" s="134"/>
      <c r="D171" s="134"/>
      <c r="E171" s="134"/>
      <c r="F171" s="134"/>
      <c r="G171" s="135"/>
      <c r="H171" s="136"/>
      <c r="I171" s="137"/>
    </row>
    <row r="172">
      <c r="A172" s="133"/>
      <c r="B172" s="134"/>
      <c r="C172" s="134"/>
      <c r="D172" s="134"/>
      <c r="E172" s="134"/>
      <c r="F172" s="134"/>
      <c r="G172" s="135"/>
      <c r="H172" s="136"/>
      <c r="I172" s="137"/>
    </row>
    <row r="173">
      <c r="A173" s="133"/>
      <c r="B173" s="134"/>
      <c r="C173" s="134"/>
      <c r="D173" s="134"/>
      <c r="E173" s="134"/>
      <c r="F173" s="134"/>
      <c r="G173" s="135"/>
      <c r="H173" s="136"/>
      <c r="I173" s="137"/>
    </row>
    <row r="174">
      <c r="A174" s="133"/>
      <c r="B174" s="134"/>
      <c r="C174" s="134"/>
      <c r="D174" s="134"/>
      <c r="E174" s="134"/>
      <c r="F174" s="134"/>
      <c r="G174" s="135"/>
      <c r="H174" s="136"/>
      <c r="I174" s="137"/>
    </row>
    <row r="175">
      <c r="A175" s="133"/>
      <c r="B175" s="134"/>
      <c r="C175" s="134"/>
      <c r="D175" s="134"/>
      <c r="E175" s="134"/>
      <c r="F175" s="134"/>
      <c r="G175" s="135"/>
      <c r="H175" s="136"/>
      <c r="I175" s="137"/>
    </row>
    <row r="176">
      <c r="A176" s="133"/>
      <c r="B176" s="134"/>
      <c r="C176" s="134"/>
      <c r="D176" s="134"/>
      <c r="E176" s="134"/>
      <c r="F176" s="134"/>
      <c r="G176" s="135"/>
      <c r="H176" s="136"/>
      <c r="I176" s="137"/>
    </row>
    <row r="177">
      <c r="A177" s="133"/>
      <c r="B177" s="134"/>
      <c r="C177" s="134"/>
      <c r="D177" s="134"/>
      <c r="E177" s="134"/>
      <c r="F177" s="134"/>
      <c r="G177" s="135"/>
      <c r="H177" s="136"/>
      <c r="I177" s="137"/>
    </row>
    <row r="178">
      <c r="A178" s="133"/>
      <c r="B178" s="134"/>
      <c r="C178" s="134"/>
      <c r="D178" s="134"/>
      <c r="E178" s="134"/>
      <c r="F178" s="134"/>
      <c r="G178" s="135"/>
      <c r="H178" s="136"/>
      <c r="I178" s="137"/>
    </row>
    <row r="179">
      <c r="A179" s="133"/>
      <c r="B179" s="134"/>
      <c r="C179" s="134"/>
      <c r="D179" s="134"/>
      <c r="E179" s="134"/>
      <c r="F179" s="134"/>
      <c r="G179" s="135"/>
      <c r="H179" s="136"/>
      <c r="I179" s="137"/>
    </row>
    <row r="180">
      <c r="A180" s="133"/>
      <c r="B180" s="134"/>
      <c r="C180" s="134"/>
      <c r="D180" s="134"/>
      <c r="E180" s="134"/>
      <c r="F180" s="134"/>
      <c r="G180" s="135"/>
      <c r="H180" s="136"/>
      <c r="I180" s="137"/>
    </row>
    <row r="181">
      <c r="A181" s="133"/>
      <c r="B181" s="134"/>
      <c r="C181" s="134"/>
      <c r="D181" s="134"/>
      <c r="E181" s="134"/>
      <c r="F181" s="134"/>
      <c r="G181" s="135"/>
      <c r="H181" s="136"/>
      <c r="I181" s="137"/>
    </row>
    <row r="182">
      <c r="A182" s="133"/>
      <c r="B182" s="134"/>
      <c r="C182" s="134"/>
      <c r="D182" s="134"/>
      <c r="E182" s="134"/>
      <c r="F182" s="134"/>
      <c r="G182" s="135"/>
      <c r="H182" s="136"/>
      <c r="I182" s="137"/>
    </row>
    <row r="183">
      <c r="A183" s="133"/>
      <c r="B183" s="134"/>
      <c r="C183" s="134"/>
      <c r="D183" s="134"/>
      <c r="E183" s="134"/>
      <c r="F183" s="134"/>
      <c r="G183" s="135"/>
      <c r="H183" s="136"/>
      <c r="I183" s="137"/>
    </row>
    <row r="184">
      <c r="A184" s="133"/>
      <c r="B184" s="134"/>
      <c r="C184" s="134"/>
      <c r="D184" s="134"/>
      <c r="E184" s="134"/>
      <c r="F184" s="134"/>
      <c r="G184" s="135"/>
      <c r="H184" s="136"/>
      <c r="I184" s="137"/>
    </row>
    <row r="185">
      <c r="A185" s="133"/>
      <c r="B185" s="134"/>
      <c r="C185" s="134"/>
      <c r="D185" s="134"/>
      <c r="E185" s="134"/>
      <c r="F185" s="134"/>
      <c r="G185" s="135"/>
      <c r="H185" s="136"/>
      <c r="I185" s="137"/>
    </row>
    <row r="186">
      <c r="A186" s="133"/>
      <c r="B186" s="134"/>
      <c r="C186" s="134"/>
      <c r="D186" s="134"/>
      <c r="E186" s="134"/>
      <c r="F186" s="134"/>
      <c r="G186" s="135"/>
      <c r="H186" s="136"/>
      <c r="I186" s="137"/>
    </row>
    <row r="187">
      <c r="A187" s="133"/>
      <c r="B187" s="134"/>
      <c r="C187" s="134"/>
      <c r="D187" s="134"/>
      <c r="E187" s="134"/>
      <c r="F187" s="134"/>
      <c r="G187" s="135"/>
      <c r="H187" s="136"/>
      <c r="I187" s="137"/>
    </row>
    <row r="188">
      <c r="A188" s="133"/>
      <c r="B188" s="134"/>
      <c r="C188" s="134"/>
      <c r="D188" s="134"/>
      <c r="E188" s="134"/>
      <c r="F188" s="134"/>
      <c r="G188" s="135"/>
      <c r="H188" s="136"/>
      <c r="I188" s="137"/>
    </row>
    <row r="189">
      <c r="A189" s="133"/>
      <c r="B189" s="134"/>
      <c r="C189" s="134"/>
      <c r="D189" s="134"/>
      <c r="E189" s="134"/>
      <c r="F189" s="134"/>
      <c r="G189" s="135"/>
      <c r="H189" s="136"/>
      <c r="I189" s="137"/>
    </row>
    <row r="190">
      <c r="A190" s="133"/>
      <c r="B190" s="134"/>
      <c r="C190" s="134"/>
      <c r="D190" s="134"/>
      <c r="E190" s="134"/>
      <c r="F190" s="134"/>
      <c r="G190" s="135"/>
      <c r="H190" s="136"/>
      <c r="I190" s="137"/>
    </row>
    <row r="191">
      <c r="A191" s="133"/>
      <c r="B191" s="134"/>
      <c r="C191" s="134"/>
      <c r="D191" s="134"/>
      <c r="E191" s="134"/>
      <c r="F191" s="134"/>
      <c r="G191" s="135"/>
      <c r="H191" s="136"/>
      <c r="I191" s="137"/>
    </row>
    <row r="192">
      <c r="A192" s="133"/>
      <c r="B192" s="134"/>
      <c r="C192" s="134"/>
      <c r="D192" s="134"/>
      <c r="E192" s="134"/>
      <c r="F192" s="134"/>
      <c r="G192" s="135"/>
      <c r="H192" s="136"/>
      <c r="I192" s="137"/>
    </row>
    <row r="193">
      <c r="A193" s="133"/>
      <c r="B193" s="134"/>
      <c r="C193" s="134"/>
      <c r="D193" s="134"/>
      <c r="E193" s="134"/>
      <c r="F193" s="134"/>
      <c r="G193" s="135"/>
      <c r="H193" s="136"/>
      <c r="I193" s="137"/>
    </row>
    <row r="194">
      <c r="A194" s="133"/>
      <c r="B194" s="134"/>
      <c r="C194" s="134"/>
      <c r="D194" s="134"/>
      <c r="E194" s="134"/>
      <c r="F194" s="134"/>
      <c r="G194" s="135"/>
      <c r="H194" s="136"/>
      <c r="I194" s="137"/>
    </row>
    <row r="195">
      <c r="A195" s="133"/>
      <c r="B195" s="134"/>
      <c r="C195" s="134"/>
      <c r="D195" s="134"/>
      <c r="E195" s="134"/>
      <c r="F195" s="134"/>
      <c r="G195" s="135"/>
      <c r="H195" s="136"/>
      <c r="I195" s="137"/>
    </row>
    <row r="196">
      <c r="A196" s="133"/>
      <c r="B196" s="134"/>
      <c r="C196" s="134"/>
      <c r="D196" s="134"/>
      <c r="E196" s="134"/>
      <c r="F196" s="134"/>
      <c r="G196" s="135"/>
      <c r="H196" s="136"/>
      <c r="I196" s="137"/>
    </row>
    <row r="197">
      <c r="A197" s="133"/>
      <c r="B197" s="134"/>
      <c r="C197" s="134"/>
      <c r="D197" s="134"/>
      <c r="E197" s="134"/>
      <c r="F197" s="134"/>
      <c r="G197" s="135"/>
      <c r="H197" s="136"/>
      <c r="I197" s="137"/>
    </row>
    <row r="198">
      <c r="A198" s="133"/>
      <c r="B198" s="134"/>
      <c r="C198" s="134"/>
      <c r="D198" s="134"/>
      <c r="E198" s="134"/>
      <c r="F198" s="134"/>
      <c r="G198" s="135"/>
      <c r="H198" s="136"/>
      <c r="I198" s="137"/>
    </row>
    <row r="199">
      <c r="A199" s="133"/>
      <c r="B199" s="134"/>
      <c r="C199" s="134"/>
      <c r="D199" s="134"/>
      <c r="E199" s="134"/>
      <c r="F199" s="134"/>
      <c r="G199" s="135"/>
      <c r="H199" s="136"/>
      <c r="I199" s="137"/>
    </row>
    <row r="200">
      <c r="A200" s="133"/>
      <c r="B200" s="134"/>
      <c r="C200" s="134"/>
      <c r="D200" s="134"/>
      <c r="E200" s="134"/>
      <c r="F200" s="134"/>
      <c r="G200" s="135"/>
      <c r="H200" s="136"/>
      <c r="I200" s="137"/>
    </row>
    <row r="201">
      <c r="A201" s="133"/>
      <c r="B201" s="134"/>
      <c r="C201" s="134"/>
      <c r="D201" s="134"/>
      <c r="E201" s="134"/>
      <c r="F201" s="134"/>
      <c r="G201" s="135"/>
      <c r="H201" s="136"/>
      <c r="I201" s="137"/>
    </row>
    <row r="202">
      <c r="A202" s="133"/>
      <c r="B202" s="134"/>
      <c r="C202" s="134"/>
      <c r="D202" s="134"/>
      <c r="E202" s="134"/>
      <c r="F202" s="134"/>
      <c r="G202" s="135"/>
      <c r="H202" s="136"/>
      <c r="I202" s="137"/>
    </row>
    <row r="203">
      <c r="A203" s="133"/>
      <c r="B203" s="134"/>
      <c r="C203" s="134"/>
      <c r="D203" s="134"/>
      <c r="E203" s="134"/>
      <c r="F203" s="134"/>
      <c r="G203" s="135"/>
      <c r="H203" s="136"/>
      <c r="I203" s="137"/>
    </row>
    <row r="204">
      <c r="A204" s="133"/>
      <c r="B204" s="134"/>
      <c r="C204" s="134"/>
      <c r="D204" s="134"/>
      <c r="E204" s="134"/>
      <c r="F204" s="134"/>
      <c r="G204" s="135"/>
      <c r="H204" s="136"/>
      <c r="I204" s="137"/>
    </row>
    <row r="205">
      <c r="A205" s="133"/>
      <c r="B205" s="134"/>
      <c r="C205" s="134"/>
      <c r="D205" s="134"/>
      <c r="E205" s="134"/>
      <c r="F205" s="134"/>
      <c r="G205" s="135"/>
      <c r="H205" s="136"/>
      <c r="I205" s="137"/>
    </row>
    <row r="206">
      <c r="A206" s="133"/>
      <c r="B206" s="134"/>
      <c r="C206" s="134"/>
      <c r="D206" s="134"/>
      <c r="E206" s="134"/>
      <c r="F206" s="134"/>
      <c r="G206" s="135"/>
      <c r="H206" s="136"/>
      <c r="I206" s="137"/>
    </row>
    <row r="207">
      <c r="A207" s="133"/>
      <c r="B207" s="134"/>
      <c r="C207" s="134"/>
      <c r="D207" s="134"/>
      <c r="E207" s="134"/>
      <c r="F207" s="134"/>
      <c r="G207" s="135"/>
      <c r="H207" s="136"/>
      <c r="I207" s="137"/>
    </row>
    <row r="208">
      <c r="A208" s="133"/>
      <c r="B208" s="134"/>
      <c r="C208" s="134"/>
      <c r="D208" s="134"/>
      <c r="E208" s="134"/>
      <c r="F208" s="134"/>
      <c r="G208" s="135"/>
      <c r="H208" s="136"/>
      <c r="I208" s="137"/>
    </row>
  </sheetData>
  <customSheetViews>
    <customSheetView guid="{337816CC-850F-4D8A-9A21-5D6FA7C66D79}" filter="1" showAutoFilter="1">
      <autoFilter ref="$A$32:$I$208"/>
    </customSheetView>
    <customSheetView guid="{7E2DC08E-42AC-43D8-8C70-258D8904AA44}" filter="1" showAutoFilter="1">
      <autoFilter ref="$A$32:$I$208"/>
    </customSheetView>
  </customSheetView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5.38"/>
    <col customWidth="1" min="2" max="2" width="23.25"/>
    <col hidden="1" min="5" max="6" width="12.63"/>
    <col hidden="1" min="12" max="16" width="12.63"/>
    <col customWidth="1" hidden="1" min="17" max="17" width="22.25"/>
  </cols>
  <sheetData>
    <row r="1">
      <c r="A1" s="138" t="s">
        <v>342</v>
      </c>
      <c r="B1" s="5"/>
      <c r="C1" s="3"/>
      <c r="D1" s="106"/>
      <c r="E1" s="139"/>
      <c r="F1" s="6"/>
      <c r="G1" s="5"/>
      <c r="M1" s="140"/>
      <c r="N1" s="140"/>
      <c r="O1" s="140"/>
      <c r="P1" s="140"/>
      <c r="Q1" s="44"/>
    </row>
    <row r="2">
      <c r="A2" s="3"/>
      <c r="B2" s="5"/>
      <c r="C2" s="3"/>
      <c r="D2" s="106"/>
      <c r="E2" s="139"/>
      <c r="F2" s="6"/>
      <c r="G2" s="5"/>
      <c r="M2" s="140"/>
      <c r="N2" s="140"/>
      <c r="O2" s="140"/>
      <c r="P2" s="140"/>
      <c r="Q2" s="44"/>
    </row>
    <row r="3">
      <c r="A3" s="9" t="s">
        <v>3</v>
      </c>
      <c r="B3" s="11" t="s">
        <v>343</v>
      </c>
      <c r="C3" s="9" t="s">
        <v>315</v>
      </c>
      <c r="D3" s="108" t="s">
        <v>6</v>
      </c>
      <c r="E3" s="13" t="s">
        <v>16</v>
      </c>
      <c r="F3" s="15" t="s">
        <v>11</v>
      </c>
      <c r="G3" s="109" t="s">
        <v>316</v>
      </c>
      <c r="M3" s="140" t="s">
        <v>344</v>
      </c>
      <c r="N3" s="140" t="s">
        <v>345</v>
      </c>
      <c r="O3" s="140" t="s">
        <v>346</v>
      </c>
      <c r="P3" s="140" t="s">
        <v>343</v>
      </c>
      <c r="Q3" s="44" t="s">
        <v>347</v>
      </c>
    </row>
    <row r="4">
      <c r="A4" s="20" t="s">
        <v>13</v>
      </c>
      <c r="B4" s="98" t="str">
        <f t="shared" ref="B4:B17" si="1">VLOOKUP(A:A,M:Q,5,FALSE)</f>
        <v>Alexandre DOZ</v>
      </c>
      <c r="C4" s="98">
        <v>605.66</v>
      </c>
      <c r="D4" s="98">
        <v>1200.0</v>
      </c>
      <c r="E4" s="48"/>
      <c r="F4" s="48">
        <f t="shared" ref="F4:F17" si="2">SUM(C4:E4)</f>
        <v>1805.66</v>
      </c>
      <c r="G4" s="20">
        <v>1806.0</v>
      </c>
      <c r="M4" s="140" t="s">
        <v>118</v>
      </c>
      <c r="N4" s="140" t="s">
        <v>348</v>
      </c>
      <c r="O4" s="140" t="s">
        <v>349</v>
      </c>
      <c r="P4" s="140" t="s">
        <v>350</v>
      </c>
      <c r="Q4" s="77" t="str">
        <f t="shared" ref="Q4:Q50" si="3">O4&amp;" "&amp;P4</f>
        <v>Charlie ALLARD</v>
      </c>
    </row>
    <row r="5">
      <c r="A5" s="20" t="s">
        <v>116</v>
      </c>
      <c r="B5" s="98" t="str">
        <f t="shared" si="1"/>
        <v>Ahmed SAIDI</v>
      </c>
      <c r="C5" s="98">
        <v>837.0</v>
      </c>
      <c r="D5" s="98">
        <v>107.1399994</v>
      </c>
      <c r="E5" s="111"/>
      <c r="F5" s="48">
        <f t="shared" si="2"/>
        <v>944.1399994</v>
      </c>
      <c r="G5" s="98">
        <v>944.0</v>
      </c>
      <c r="M5" s="140" t="s">
        <v>93</v>
      </c>
      <c r="N5" s="140" t="s">
        <v>348</v>
      </c>
      <c r="O5" s="140" t="s">
        <v>351</v>
      </c>
      <c r="P5" s="140" t="s">
        <v>352</v>
      </c>
      <c r="Q5" s="77" t="str">
        <f t="shared" si="3"/>
        <v>Mohammed AMMARA</v>
      </c>
    </row>
    <row r="6">
      <c r="A6" s="20" t="s">
        <v>308</v>
      </c>
      <c r="B6" s="98" t="str">
        <f t="shared" si="1"/>
        <v>Arthur VARY</v>
      </c>
      <c r="C6" s="98">
        <v>1500.0</v>
      </c>
      <c r="D6" s="98"/>
      <c r="E6" s="48"/>
      <c r="F6" s="48">
        <f t="shared" si="2"/>
        <v>1500</v>
      </c>
      <c r="G6" s="20">
        <v>1500.0</v>
      </c>
      <c r="M6" s="140" t="s">
        <v>75</v>
      </c>
      <c r="N6" s="140" t="s">
        <v>353</v>
      </c>
      <c r="O6" s="140" t="s">
        <v>354</v>
      </c>
      <c r="P6" s="140" t="s">
        <v>355</v>
      </c>
      <c r="Q6" s="77" t="str">
        <f t="shared" si="3"/>
        <v>Tatiana ANDRIANONY</v>
      </c>
    </row>
    <row r="7">
      <c r="A7" s="20" t="s">
        <v>83</v>
      </c>
      <c r="B7" s="98" t="str">
        <f t="shared" si="1"/>
        <v>Baptiste MOUTINHO</v>
      </c>
      <c r="C7" s="98">
        <v>9.896551724</v>
      </c>
      <c r="D7" s="98"/>
      <c r="E7" s="48"/>
      <c r="F7" s="48">
        <f t="shared" si="2"/>
        <v>9.896551724</v>
      </c>
      <c r="G7" s="20">
        <v>10.0</v>
      </c>
      <c r="M7" s="140" t="s">
        <v>162</v>
      </c>
      <c r="N7" s="140" t="s">
        <v>353</v>
      </c>
      <c r="O7" s="140" t="s">
        <v>356</v>
      </c>
      <c r="P7" s="140" t="s">
        <v>357</v>
      </c>
      <c r="Q7" s="77" t="str">
        <f t="shared" si="3"/>
        <v>Ibtissam BELAIB</v>
      </c>
    </row>
    <row r="8">
      <c r="A8" s="20" t="s">
        <v>133</v>
      </c>
      <c r="B8" s="98" t="str">
        <f t="shared" si="1"/>
        <v>Camille Le Meut</v>
      </c>
      <c r="C8" s="98">
        <v>194.83</v>
      </c>
      <c r="D8" s="98"/>
      <c r="E8" s="48"/>
      <c r="F8" s="48">
        <f t="shared" si="2"/>
        <v>194.83</v>
      </c>
      <c r="G8" s="20">
        <v>195.0</v>
      </c>
      <c r="M8" s="140" t="s">
        <v>358</v>
      </c>
      <c r="N8" s="140" t="s">
        <v>348</v>
      </c>
      <c r="O8" s="140" t="s">
        <v>359</v>
      </c>
      <c r="P8" s="140" t="s">
        <v>360</v>
      </c>
      <c r="Q8" s="77" t="str">
        <f t="shared" si="3"/>
        <v>Elmehdi BEN SMAIL</v>
      </c>
    </row>
    <row r="9">
      <c r="A9" s="20" t="s">
        <v>143</v>
      </c>
      <c r="B9" s="98" t="str">
        <f t="shared" si="1"/>
        <v>Guillaume BEST</v>
      </c>
      <c r="C9" s="98"/>
      <c r="D9" s="98">
        <v>200.0</v>
      </c>
      <c r="E9" s="48"/>
      <c r="F9" s="48">
        <f t="shared" si="2"/>
        <v>200</v>
      </c>
      <c r="G9" s="20">
        <v>200.0</v>
      </c>
      <c r="M9" s="140" t="s">
        <v>143</v>
      </c>
      <c r="N9" s="140" t="s">
        <v>348</v>
      </c>
      <c r="O9" s="140" t="s">
        <v>361</v>
      </c>
      <c r="P9" s="140" t="s">
        <v>362</v>
      </c>
      <c r="Q9" s="77" t="str">
        <f t="shared" si="3"/>
        <v>Guillaume BEST</v>
      </c>
    </row>
    <row r="10">
      <c r="A10" s="20" t="s">
        <v>25</v>
      </c>
      <c r="B10" s="98" t="str">
        <f t="shared" si="1"/>
        <v>Guillaume MERCIER</v>
      </c>
      <c r="C10" s="98">
        <v>919.17</v>
      </c>
      <c r="D10" s="98"/>
      <c r="E10" s="48"/>
      <c r="F10" s="48">
        <f t="shared" si="2"/>
        <v>919.17</v>
      </c>
      <c r="G10" s="20">
        <v>919.0</v>
      </c>
      <c r="M10" s="140" t="s">
        <v>363</v>
      </c>
      <c r="N10" s="140" t="s">
        <v>348</v>
      </c>
      <c r="O10" s="140" t="s">
        <v>364</v>
      </c>
      <c r="P10" s="140" t="s">
        <v>365</v>
      </c>
      <c r="Q10" s="77" t="str">
        <f t="shared" si="3"/>
        <v>Jean-Ludovic BLANCHON</v>
      </c>
    </row>
    <row r="11">
      <c r="A11" s="20" t="s">
        <v>152</v>
      </c>
      <c r="B11" s="98" t="str">
        <f t="shared" si="1"/>
        <v>Ghizlane TAYAA</v>
      </c>
      <c r="C11" s="98">
        <v>849.66</v>
      </c>
      <c r="D11" s="98"/>
      <c r="E11" s="48"/>
      <c r="F11" s="48">
        <f t="shared" si="2"/>
        <v>849.66</v>
      </c>
      <c r="G11" s="44">
        <v>850.0</v>
      </c>
      <c r="M11" s="140" t="s">
        <v>195</v>
      </c>
      <c r="N11" s="140" t="s">
        <v>353</v>
      </c>
      <c r="O11" s="140" t="s">
        <v>366</v>
      </c>
      <c r="P11" s="140" t="s">
        <v>367</v>
      </c>
      <c r="Q11" s="77" t="str">
        <f t="shared" si="3"/>
        <v>Laure BUONONATO</v>
      </c>
    </row>
    <row r="12">
      <c r="A12" s="20" t="s">
        <v>176</v>
      </c>
      <c r="B12" s="98" t="str">
        <f t="shared" si="1"/>
        <v>Jonathan FERNANDES</v>
      </c>
      <c r="C12" s="98">
        <v>442.8965517</v>
      </c>
      <c r="D12" s="98"/>
      <c r="E12" s="48"/>
      <c r="F12" s="48">
        <f t="shared" si="2"/>
        <v>442.8965517</v>
      </c>
      <c r="G12" s="20">
        <v>443.0</v>
      </c>
      <c r="M12" s="140" t="s">
        <v>164</v>
      </c>
      <c r="N12" s="140" t="s">
        <v>348</v>
      </c>
      <c r="O12" s="140" t="s">
        <v>368</v>
      </c>
      <c r="P12" s="140" t="s">
        <v>369</v>
      </c>
      <c r="Q12" s="77" t="str">
        <f t="shared" si="3"/>
        <v>Isselt CHAMPION</v>
      </c>
    </row>
    <row r="13">
      <c r="A13" s="20" t="s">
        <v>195</v>
      </c>
      <c r="B13" s="98" t="str">
        <f t="shared" si="1"/>
        <v>Laure BUONONATO</v>
      </c>
      <c r="C13" s="98"/>
      <c r="D13" s="98">
        <v>629.0</v>
      </c>
      <c r="E13" s="111"/>
      <c r="F13" s="48">
        <f t="shared" si="2"/>
        <v>629</v>
      </c>
      <c r="G13" s="20">
        <v>629.0</v>
      </c>
      <c r="M13" s="140" t="s">
        <v>96</v>
      </c>
      <c r="N13" s="140" t="s">
        <v>353</v>
      </c>
      <c r="O13" s="140" t="s">
        <v>370</v>
      </c>
      <c r="P13" s="140" t="s">
        <v>371</v>
      </c>
      <c r="Q13" s="77" t="str">
        <f t="shared" si="3"/>
        <v>Marine CHARRIER</v>
      </c>
    </row>
    <row r="14">
      <c r="A14" s="20" t="s">
        <v>96</v>
      </c>
      <c r="B14" s="98" t="str">
        <f t="shared" si="1"/>
        <v>Marine CHARRIER</v>
      </c>
      <c r="C14" s="98"/>
      <c r="D14" s="98">
        <v>200.0</v>
      </c>
      <c r="E14" s="48"/>
      <c r="F14" s="110">
        <f t="shared" si="2"/>
        <v>200</v>
      </c>
      <c r="G14" s="20">
        <v>200.0</v>
      </c>
      <c r="M14" s="140" t="s">
        <v>372</v>
      </c>
      <c r="N14" s="140" t="s">
        <v>353</v>
      </c>
      <c r="O14" s="140" t="s">
        <v>373</v>
      </c>
      <c r="P14" s="140" t="s">
        <v>374</v>
      </c>
      <c r="Q14" s="77" t="str">
        <f t="shared" si="3"/>
        <v>Célia DERRADJI</v>
      </c>
    </row>
    <row r="15">
      <c r="A15" s="20" t="s">
        <v>285</v>
      </c>
      <c r="B15" s="98" t="str">
        <f t="shared" si="1"/>
        <v>Mélina TOMASSI</v>
      </c>
      <c r="C15" s="98">
        <v>404.49</v>
      </c>
      <c r="D15" s="98"/>
      <c r="E15" s="48"/>
      <c r="F15" s="48">
        <f t="shared" si="2"/>
        <v>404.49</v>
      </c>
      <c r="G15" s="20">
        <v>404.0</v>
      </c>
      <c r="M15" s="140" t="s">
        <v>13</v>
      </c>
      <c r="N15" s="140" t="s">
        <v>348</v>
      </c>
      <c r="O15" s="140" t="s">
        <v>375</v>
      </c>
      <c r="P15" s="140" t="s">
        <v>376</v>
      </c>
      <c r="Q15" s="77" t="str">
        <f t="shared" si="3"/>
        <v>Alexandre DOZ</v>
      </c>
    </row>
    <row r="16">
      <c r="A16" s="20" t="s">
        <v>269</v>
      </c>
      <c r="B16" s="98" t="str">
        <f t="shared" si="1"/>
        <v>Umair MUMTAZ</v>
      </c>
      <c r="C16" s="98">
        <v>805.59</v>
      </c>
      <c r="D16" s="98"/>
      <c r="E16" s="111"/>
      <c r="F16" s="48">
        <f t="shared" si="2"/>
        <v>805.59</v>
      </c>
      <c r="G16" s="20">
        <v>806.0</v>
      </c>
      <c r="M16" s="140" t="s">
        <v>174</v>
      </c>
      <c r="N16" s="140" t="s">
        <v>348</v>
      </c>
      <c r="O16" s="140" t="s">
        <v>377</v>
      </c>
      <c r="P16" s="140" t="s">
        <v>378</v>
      </c>
      <c r="Q16" s="77" t="str">
        <f t="shared" si="3"/>
        <v>Jérémy DUGAS</v>
      </c>
    </row>
    <row r="17">
      <c r="A17" s="20" t="s">
        <v>271</v>
      </c>
      <c r="B17" s="98" t="str">
        <f t="shared" si="1"/>
        <v>Virgile GRAMMONT</v>
      </c>
      <c r="C17" s="98">
        <v>890.69</v>
      </c>
      <c r="D17" s="98"/>
      <c r="E17" s="111"/>
      <c r="F17" s="48">
        <f t="shared" si="2"/>
        <v>890.69</v>
      </c>
      <c r="G17" s="20">
        <v>891.0</v>
      </c>
      <c r="M17" s="140" t="s">
        <v>140</v>
      </c>
      <c r="N17" s="140" t="s">
        <v>348</v>
      </c>
      <c r="O17" s="140" t="s">
        <v>379</v>
      </c>
      <c r="P17" s="140" t="s">
        <v>380</v>
      </c>
      <c r="Q17" s="77" t="str">
        <f t="shared" si="3"/>
        <v>Emmanuel ELIAS</v>
      </c>
    </row>
    <row r="18">
      <c r="A18" s="46" t="s">
        <v>11</v>
      </c>
      <c r="B18" s="98"/>
      <c r="C18" s="48">
        <f t="shared" ref="C18:G18" si="4">SUM(C4:C17)</f>
        <v>7459.883103</v>
      </c>
      <c r="D18" s="48">
        <f t="shared" si="4"/>
        <v>2336.139999</v>
      </c>
      <c r="E18" s="48">
        <f t="shared" si="4"/>
        <v>0</v>
      </c>
      <c r="F18" s="48">
        <f t="shared" si="4"/>
        <v>9796.023103</v>
      </c>
      <c r="G18" s="48">
        <f t="shared" si="4"/>
        <v>9797</v>
      </c>
      <c r="M18" s="140" t="s">
        <v>381</v>
      </c>
      <c r="N18" s="140" t="s">
        <v>348</v>
      </c>
      <c r="O18" s="140" t="s">
        <v>382</v>
      </c>
      <c r="P18" s="140" t="s">
        <v>383</v>
      </c>
      <c r="Q18" s="77" t="str">
        <f t="shared" si="3"/>
        <v>Louis FABRE</v>
      </c>
    </row>
    <row r="19">
      <c r="M19" s="140" t="s">
        <v>176</v>
      </c>
      <c r="N19" s="140" t="s">
        <v>348</v>
      </c>
      <c r="O19" s="140" t="s">
        <v>384</v>
      </c>
      <c r="P19" s="140" t="s">
        <v>385</v>
      </c>
      <c r="Q19" s="77" t="str">
        <f t="shared" si="3"/>
        <v>Jonathan FERNANDES</v>
      </c>
    </row>
    <row r="20">
      <c r="M20" s="140" t="s">
        <v>178</v>
      </c>
      <c r="N20" s="140" t="s">
        <v>348</v>
      </c>
      <c r="O20" s="140" t="s">
        <v>386</v>
      </c>
      <c r="P20" s="140" t="s">
        <v>387</v>
      </c>
      <c r="Q20" s="77" t="str">
        <f t="shared" si="3"/>
        <v>Jules GALIANO</v>
      </c>
    </row>
    <row r="21">
      <c r="M21" s="140" t="s">
        <v>255</v>
      </c>
      <c r="N21" s="140" t="s">
        <v>348</v>
      </c>
      <c r="O21" s="140" t="s">
        <v>388</v>
      </c>
      <c r="P21" s="140" t="s">
        <v>389</v>
      </c>
      <c r="Q21" s="77" t="str">
        <f t="shared" si="3"/>
        <v>Sakthivel GANABADY</v>
      </c>
    </row>
    <row r="22">
      <c r="M22" s="140" t="s">
        <v>390</v>
      </c>
      <c r="N22" s="140" t="s">
        <v>353</v>
      </c>
      <c r="O22" s="140" t="s">
        <v>391</v>
      </c>
      <c r="P22" s="140" t="s">
        <v>392</v>
      </c>
      <c r="Q22" s="77" t="str">
        <f t="shared" si="3"/>
        <v>Ingrid GERGAUD</v>
      </c>
    </row>
    <row r="23">
      <c r="M23" s="140" t="s">
        <v>271</v>
      </c>
      <c r="N23" s="140" t="s">
        <v>348</v>
      </c>
      <c r="O23" s="140" t="s">
        <v>393</v>
      </c>
      <c r="P23" s="140" t="s">
        <v>394</v>
      </c>
      <c r="Q23" s="77" t="str">
        <f t="shared" si="3"/>
        <v>Virgile GRAMMONT</v>
      </c>
    </row>
    <row r="24">
      <c r="M24" s="140" t="s">
        <v>312</v>
      </c>
      <c r="N24" s="140" t="s">
        <v>353</v>
      </c>
      <c r="O24" s="140" t="s">
        <v>395</v>
      </c>
      <c r="P24" s="140" t="s">
        <v>396</v>
      </c>
      <c r="Q24" s="77" t="str">
        <f t="shared" si="3"/>
        <v>Muriel GUIOCHET</v>
      </c>
    </row>
    <row r="25">
      <c r="M25" s="140" t="s">
        <v>81</v>
      </c>
      <c r="N25" s="140" t="s">
        <v>353</v>
      </c>
      <c r="O25" s="140" t="s">
        <v>397</v>
      </c>
      <c r="P25" s="140" t="s">
        <v>398</v>
      </c>
      <c r="Q25" s="77" t="str">
        <f t="shared" si="3"/>
        <v>Ikram HAMDACHE</v>
      </c>
    </row>
    <row r="26">
      <c r="M26" s="140" t="s">
        <v>191</v>
      </c>
      <c r="N26" s="140" t="s">
        <v>353</v>
      </c>
      <c r="O26" s="140" t="s">
        <v>399</v>
      </c>
      <c r="P26" s="140" t="s">
        <v>400</v>
      </c>
      <c r="Q26" s="77" t="str">
        <f t="shared" si="3"/>
        <v>Kawthar JENFI</v>
      </c>
    </row>
    <row r="27">
      <c r="M27" s="140" t="s">
        <v>107</v>
      </c>
      <c r="N27" s="140" t="s">
        <v>348</v>
      </c>
      <c r="O27" s="140" t="s">
        <v>401</v>
      </c>
      <c r="P27" s="140" t="s">
        <v>402</v>
      </c>
      <c r="Q27" s="77" t="str">
        <f t="shared" si="3"/>
        <v>David LACHKEUR</v>
      </c>
    </row>
    <row r="28">
      <c r="M28" s="140" t="s">
        <v>403</v>
      </c>
      <c r="N28" s="140" t="s">
        <v>348</v>
      </c>
      <c r="O28" s="140" t="s">
        <v>404</v>
      </c>
      <c r="P28" s="140" t="s">
        <v>405</v>
      </c>
      <c r="Q28" s="77" t="str">
        <f t="shared" si="3"/>
        <v>Loïc LAVERGNE</v>
      </c>
    </row>
    <row r="29">
      <c r="M29" s="140" t="s">
        <v>133</v>
      </c>
      <c r="N29" s="140" t="s">
        <v>353</v>
      </c>
      <c r="O29" s="140" t="s">
        <v>406</v>
      </c>
      <c r="P29" s="140" t="s">
        <v>407</v>
      </c>
      <c r="Q29" s="77" t="str">
        <f t="shared" si="3"/>
        <v>Camille Le Meut</v>
      </c>
    </row>
    <row r="30">
      <c r="M30" s="140" t="s">
        <v>273</v>
      </c>
      <c r="N30" s="140" t="s">
        <v>348</v>
      </c>
      <c r="O30" s="140" t="s">
        <v>408</v>
      </c>
      <c r="P30" s="140" t="s">
        <v>409</v>
      </c>
      <c r="Q30" s="77" t="str">
        <f t="shared" si="3"/>
        <v>Yannick LEBRETON</v>
      </c>
    </row>
    <row r="31">
      <c r="M31" s="140" t="s">
        <v>215</v>
      </c>
      <c r="N31" s="140" t="s">
        <v>348</v>
      </c>
      <c r="O31" s="140" t="s">
        <v>410</v>
      </c>
      <c r="P31" s="140" t="s">
        <v>411</v>
      </c>
      <c r="Q31" s="77" t="str">
        <f t="shared" si="3"/>
        <v>Mostafa MAHFOUZ</v>
      </c>
    </row>
    <row r="32">
      <c r="M32" s="140" t="s">
        <v>147</v>
      </c>
      <c r="N32" s="140" t="s">
        <v>348</v>
      </c>
      <c r="O32" s="140" t="s">
        <v>361</v>
      </c>
      <c r="P32" s="140" t="s">
        <v>412</v>
      </c>
      <c r="Q32" s="77" t="str">
        <f t="shared" si="3"/>
        <v>Guillaume MARIAUD</v>
      </c>
    </row>
    <row r="33">
      <c r="M33" s="140" t="s">
        <v>126</v>
      </c>
      <c r="N33" s="140" t="s">
        <v>353</v>
      </c>
      <c r="O33" s="140" t="s">
        <v>413</v>
      </c>
      <c r="P33" s="140" t="s">
        <v>414</v>
      </c>
      <c r="Q33" s="77" t="str">
        <f t="shared" si="3"/>
        <v>Chloé MENIGOZ</v>
      </c>
    </row>
    <row r="34">
      <c r="M34" s="140" t="s">
        <v>25</v>
      </c>
      <c r="N34" s="140" t="s">
        <v>348</v>
      </c>
      <c r="O34" s="140" t="s">
        <v>361</v>
      </c>
      <c r="P34" s="140" t="s">
        <v>415</v>
      </c>
      <c r="Q34" s="77" t="str">
        <f t="shared" si="3"/>
        <v>Guillaume MERCIER</v>
      </c>
    </row>
    <row r="35">
      <c r="M35" s="140" t="s">
        <v>416</v>
      </c>
      <c r="N35" s="140" t="s">
        <v>353</v>
      </c>
      <c r="O35" s="140" t="s">
        <v>417</v>
      </c>
      <c r="P35" s="140" t="s">
        <v>418</v>
      </c>
      <c r="Q35" s="77" t="str">
        <f t="shared" si="3"/>
        <v>Vanessa MILORD</v>
      </c>
    </row>
    <row r="36">
      <c r="M36" s="140" t="s">
        <v>83</v>
      </c>
      <c r="N36" s="140" t="s">
        <v>348</v>
      </c>
      <c r="O36" s="140" t="s">
        <v>419</v>
      </c>
      <c r="P36" s="140" t="s">
        <v>420</v>
      </c>
      <c r="Q36" s="77" t="str">
        <f t="shared" si="3"/>
        <v>Baptiste MOUTINHO</v>
      </c>
    </row>
    <row r="37">
      <c r="M37" s="140" t="s">
        <v>269</v>
      </c>
      <c r="N37" s="140" t="s">
        <v>348</v>
      </c>
      <c r="O37" s="140" t="s">
        <v>421</v>
      </c>
      <c r="P37" s="140" t="s">
        <v>422</v>
      </c>
      <c r="Q37" s="77" t="str">
        <f t="shared" si="3"/>
        <v>Umair MUMTAZ</v>
      </c>
    </row>
    <row r="38">
      <c r="M38" s="140" t="s">
        <v>98</v>
      </c>
      <c r="N38" s="140" t="s">
        <v>353</v>
      </c>
      <c r="O38" s="140" t="s">
        <v>423</v>
      </c>
      <c r="P38" s="140" t="s">
        <v>424</v>
      </c>
      <c r="Q38" s="77" t="str">
        <f t="shared" si="3"/>
        <v>Anny NGO NGAN</v>
      </c>
    </row>
    <row r="39">
      <c r="M39" s="140" t="s">
        <v>110</v>
      </c>
      <c r="N39" s="140" t="s">
        <v>353</v>
      </c>
      <c r="O39" s="140" t="s">
        <v>425</v>
      </c>
      <c r="P39" s="140" t="s">
        <v>426</v>
      </c>
      <c r="Q39" s="77" t="str">
        <f t="shared" si="3"/>
        <v>Alice NOWICKI</v>
      </c>
    </row>
    <row r="40">
      <c r="M40" s="140" t="s">
        <v>170</v>
      </c>
      <c r="N40" s="140" t="s">
        <v>348</v>
      </c>
      <c r="O40" s="140" t="s">
        <v>427</v>
      </c>
      <c r="P40" s="140" t="s">
        <v>428</v>
      </c>
      <c r="Q40" s="77" t="str">
        <f t="shared" si="3"/>
        <v>Iheb OMRI</v>
      </c>
    </row>
    <row r="41">
      <c r="M41" s="140" t="s">
        <v>88</v>
      </c>
      <c r="N41" s="140" t="s">
        <v>348</v>
      </c>
      <c r="O41" s="140" t="s">
        <v>429</v>
      </c>
      <c r="P41" s="140" t="s">
        <v>430</v>
      </c>
      <c r="Q41" s="77" t="str">
        <f t="shared" si="3"/>
        <v>Naïm OUARAZ</v>
      </c>
    </row>
    <row r="42">
      <c r="M42" s="140" t="s">
        <v>112</v>
      </c>
      <c r="N42" s="140" t="s">
        <v>353</v>
      </c>
      <c r="O42" s="140" t="s">
        <v>431</v>
      </c>
      <c r="P42" s="140" t="s">
        <v>432</v>
      </c>
      <c r="Q42" s="77" t="str">
        <f t="shared" si="3"/>
        <v>Aurélie RAISON</v>
      </c>
    </row>
    <row r="43">
      <c r="M43" s="140" t="s">
        <v>116</v>
      </c>
      <c r="N43" s="140" t="s">
        <v>348</v>
      </c>
      <c r="O43" s="140" t="s">
        <v>433</v>
      </c>
      <c r="P43" s="140" t="s">
        <v>434</v>
      </c>
      <c r="Q43" s="77" t="str">
        <f t="shared" si="3"/>
        <v>Ahmed SAIDI</v>
      </c>
    </row>
    <row r="44">
      <c r="M44" s="140" t="s">
        <v>236</v>
      </c>
      <c r="N44" s="140" t="s">
        <v>348</v>
      </c>
      <c r="O44" s="140" t="s">
        <v>435</v>
      </c>
      <c r="P44" s="140" t="s">
        <v>436</v>
      </c>
      <c r="Q44" s="77" t="str">
        <f t="shared" si="3"/>
        <v>Omar SALEHDDINE</v>
      </c>
    </row>
    <row r="45">
      <c r="M45" s="140" t="s">
        <v>150</v>
      </c>
      <c r="N45" s="140" t="s">
        <v>348</v>
      </c>
      <c r="O45" s="140" t="s">
        <v>437</v>
      </c>
      <c r="P45" s="140" t="s">
        <v>438</v>
      </c>
      <c r="Q45" s="77" t="str">
        <f t="shared" si="3"/>
        <v>Gabriel SARR</v>
      </c>
    </row>
    <row r="46">
      <c r="M46" s="140" t="s">
        <v>226</v>
      </c>
      <c r="N46" s="140" t="s">
        <v>353</v>
      </c>
      <c r="O46" s="140" t="s">
        <v>439</v>
      </c>
      <c r="P46" s="140" t="s">
        <v>440</v>
      </c>
      <c r="Q46" s="77" t="str">
        <f t="shared" si="3"/>
        <v>Margaux SIMON</v>
      </c>
    </row>
    <row r="47">
      <c r="M47" s="140" t="s">
        <v>152</v>
      </c>
      <c r="N47" s="140" t="s">
        <v>353</v>
      </c>
      <c r="O47" s="140" t="s">
        <v>441</v>
      </c>
      <c r="P47" s="140" t="s">
        <v>442</v>
      </c>
      <c r="Q47" s="77" t="str">
        <f t="shared" si="3"/>
        <v>Ghizlane TAYAA</v>
      </c>
    </row>
    <row r="48">
      <c r="M48" s="140" t="s">
        <v>285</v>
      </c>
      <c r="N48" s="140" t="s">
        <v>353</v>
      </c>
      <c r="O48" s="140" t="s">
        <v>443</v>
      </c>
      <c r="P48" s="140" t="s">
        <v>444</v>
      </c>
      <c r="Q48" s="77" t="str">
        <f t="shared" si="3"/>
        <v>Mélina TOMASSI</v>
      </c>
    </row>
    <row r="49">
      <c r="M49" s="140" t="s">
        <v>308</v>
      </c>
      <c r="N49" s="140" t="s">
        <v>348</v>
      </c>
      <c r="O49" s="140" t="s">
        <v>445</v>
      </c>
      <c r="P49" s="140" t="s">
        <v>446</v>
      </c>
      <c r="Q49" s="77" t="str">
        <f t="shared" si="3"/>
        <v>Arthur VARY</v>
      </c>
    </row>
    <row r="50">
      <c r="M50" s="140" t="s">
        <v>313</v>
      </c>
      <c r="N50" s="140" t="s">
        <v>348</v>
      </c>
      <c r="O50" s="140" t="s">
        <v>447</v>
      </c>
      <c r="P50" s="140" t="s">
        <v>448</v>
      </c>
      <c r="Q50" s="77" t="str">
        <f t="shared" si="3"/>
        <v>Vincent ZANOL</v>
      </c>
    </row>
  </sheetData>
  <drawing r:id="rId1"/>
</worksheet>
</file>